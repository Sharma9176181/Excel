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W Skills\Excel\Assignment 3\"/>
    </mc:Choice>
  </mc:AlternateContent>
  <xr:revisionPtr revIDLastSave="0" documentId="13_ncr:1_{3F33BF34-09EA-4965-BC4C-BF1E3BF96EF7}" xr6:coauthVersionLast="47" xr6:coauthVersionMax="47" xr10:uidLastSave="{00000000-0000-0000-0000-000000000000}"/>
  <bookViews>
    <workbookView xWindow="-110" yWindow="-110" windowWidth="19420" windowHeight="10300" xr2:uid="{DF828D43-3B15-4D3D-B6D1-7BD3893BE341}"/>
  </bookViews>
  <sheets>
    <sheet name="Q-1" sheetId="1" r:id="rId1"/>
    <sheet name="Q-2" sheetId="2" r:id="rId2"/>
    <sheet name="Q-3" sheetId="3" r:id="rId3"/>
    <sheet name="Q-4" sheetId="4" r:id="rId4"/>
    <sheet name="Q-5" sheetId="5" r:id="rId5"/>
    <sheet name="Q-6" sheetId="6" r:id="rId6"/>
    <sheet name="Q-7" sheetId="7" r:id="rId7"/>
    <sheet name="Q-8" sheetId="8" r:id="rId8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2" i="7" l="1"/>
  <c r="D14" i="6"/>
  <c r="D15" i="6"/>
  <c r="D13" i="6"/>
  <c r="E14" i="5"/>
  <c r="F6" i="4"/>
  <c r="C7" i="3"/>
  <c r="C8" i="3"/>
  <c r="C9" i="3"/>
  <c r="C10" i="3"/>
  <c r="C6" i="3"/>
  <c r="D7" i="2"/>
  <c r="D8" i="2"/>
  <c r="D9" i="2"/>
  <c r="D6" i="2"/>
  <c r="C7" i="1"/>
  <c r="C8" i="1"/>
  <c r="C9" i="1"/>
  <c r="C10" i="1"/>
  <c r="C6" i="1"/>
</calcChain>
</file>

<file path=xl/sharedStrings.xml><?xml version="1.0" encoding="utf-8"?>
<sst xmlns="http://schemas.openxmlformats.org/spreadsheetml/2006/main" count="115" uniqueCount="63">
  <si>
    <t>1. Write a formula to check if the marks in B2 cell are greater than or equal to 40. If yes, return "Pass" , otherwise "Fail".</t>
  </si>
  <si>
    <t>Riya</t>
  </si>
  <si>
    <t>Rahul</t>
  </si>
  <si>
    <t>Siya</t>
  </si>
  <si>
    <t>Ram</t>
  </si>
  <si>
    <t>Raju</t>
  </si>
  <si>
    <t>Student Name</t>
  </si>
  <si>
    <t>Marks</t>
  </si>
  <si>
    <t>Ans.</t>
  </si>
  <si>
    <t>Pass/Fail</t>
  </si>
  <si>
    <t>2. A company gives a bonus  if sales are above 40,000 and attendance is greater than or equal to 90%. Write a formula to calculate whether the employee will get a bonus or not .</t>
  </si>
  <si>
    <t>Employee</t>
  </si>
  <si>
    <t>Sales</t>
  </si>
  <si>
    <t>Attendance</t>
  </si>
  <si>
    <t>Arjun</t>
  </si>
  <si>
    <t>Anjali</t>
  </si>
  <si>
    <t>Simran</t>
  </si>
  <si>
    <t>Rohit</t>
  </si>
  <si>
    <t>Bonus</t>
  </si>
  <si>
    <t>3. Write a nested IF formula: If marks in B2 are ≥ 90 →"A" , ≥ 75 →"B" , ≥ 50 →"C" , otherwise "Fail".</t>
  </si>
  <si>
    <t>Name</t>
  </si>
  <si>
    <t>Raj</t>
  </si>
  <si>
    <t>Rani</t>
  </si>
  <si>
    <t>Neha</t>
  </si>
  <si>
    <t>Sneha</t>
  </si>
  <si>
    <t>Vivek</t>
  </si>
  <si>
    <t>Grade</t>
  </si>
  <si>
    <t>4. Find the Department of Employee ID = E103. Also explain which LOOKUP function is used and why?</t>
  </si>
  <si>
    <t>EmpID</t>
  </si>
  <si>
    <t>Department</t>
  </si>
  <si>
    <t>E101</t>
  </si>
  <si>
    <t>IT</t>
  </si>
  <si>
    <t>E104</t>
  </si>
  <si>
    <t>Sejal</t>
  </si>
  <si>
    <t>E102</t>
  </si>
  <si>
    <t>HR</t>
  </si>
  <si>
    <t>E103</t>
  </si>
  <si>
    <t>Roshni</t>
  </si>
  <si>
    <t>Finance</t>
  </si>
  <si>
    <t>I have used Vlookup formula here as all the look up values are present in first column of the data table.</t>
  </si>
  <si>
    <t>5. A company has set the following commission structure for its sales team:</t>
  </si>
  <si>
    <t>Sales Amount</t>
  </si>
  <si>
    <t>Commission Rate</t>
  </si>
  <si>
    <t>If a salesperson achieves sales of ₹45,000, use the VLOOKUP function to determine the commission rate applicable</t>
  </si>
  <si>
    <t>Sale Amount</t>
  </si>
  <si>
    <t>6. The HR department maintains the following leave records of employees:bonus or not</t>
  </si>
  <si>
    <t>Employee Name</t>
  </si>
  <si>
    <t>Leaves Taken</t>
  </si>
  <si>
    <t>Leaves Allowed</t>
  </si>
  <si>
    <t>Alex</t>
  </si>
  <si>
    <t>Bob</t>
  </si>
  <si>
    <t>Anna</t>
  </si>
  <si>
    <t>Write an IF function to check whether an employee has Exceeded their allowed leave balance. If Leaves Taken &gt; Allowed Leaves, display "Exceeded". Otherwise, display "OK".</t>
  </si>
  <si>
    <t>Status</t>
  </si>
  <si>
    <t>7. Find the salary of EmpID = E105 using INDEX-MATCH Function.</t>
  </si>
  <si>
    <t>Salary</t>
  </si>
  <si>
    <t>E105</t>
  </si>
  <si>
    <t>E106</t>
  </si>
  <si>
    <t>8. Use the XLOOKUP function to find the Department of the employee with Emp ID = E303</t>
  </si>
  <si>
    <t>E301</t>
  </si>
  <si>
    <t>E303</t>
  </si>
  <si>
    <t>Note- The Excel version I have doesn't support Xloookup formula that’s why I have written the above formula like that.</t>
  </si>
  <si>
    <t>"=XLOOKUP("E303", A12:A15, B12:B15)"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</si>
</sst>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2" borderId="0" xfId="0" applyFill="1"/>
    <xf numFmtId="0" fontId="0" fillId="0" borderId="0" xfId="0" applyFill="1" applyBorder="1" applyAlignment="1">
      <alignment horizont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/>
    </xf>
    <xf numFmtId="9" fontId="0" fillId="2" borderId="0" xfId="0" applyNumberFormat="1" applyFill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1" fillId="3" borderId="0" xfId="0" applyFont="1" applyFill="1"/>
    <xf numFmtId="0" fontId="0" fillId="4" borderId="0" xfId="0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5096D-8835-4691-94FC-173BBEF7C3F9}">
  <dimension ref="A1:C10"/>
  <sheetViews>
    <sheetView showGridLines="0" tabSelected="1" workbookViewId="0"/>
  </sheetViews>
  <sheetFormatPr defaultRowHeight="14.5" x14ac:dyDescent="0.35"/>
  <cols>
    <col min="1" max="1" width="12.6328125" bestFit="1" customWidth="1"/>
    <col min="2" max="2" width="6" bestFit="1" customWidth="1"/>
  </cols>
  <sheetData>
    <row r="1" spans="1:3" s="15" customFormat="1" x14ac:dyDescent="0.35">
      <c r="A1" s="15" t="s">
        <v>0</v>
      </c>
    </row>
    <row r="3" spans="1:3" x14ac:dyDescent="0.35">
      <c r="A3" t="s">
        <v>8</v>
      </c>
    </row>
    <row r="5" spans="1:3" x14ac:dyDescent="0.35">
      <c r="A5" s="2" t="s">
        <v>6</v>
      </c>
      <c r="B5" s="2" t="s">
        <v>7</v>
      </c>
      <c r="C5" s="2" t="s">
        <v>9</v>
      </c>
    </row>
    <row r="6" spans="1:3" x14ac:dyDescent="0.35">
      <c r="A6" s="2" t="s">
        <v>1</v>
      </c>
      <c r="B6" s="2">
        <v>45</v>
      </c>
      <c r="C6" s="3" t="str">
        <f>IF(B6&gt;=40,"Pass","Fail")</f>
        <v>Pass</v>
      </c>
    </row>
    <row r="7" spans="1:3" x14ac:dyDescent="0.35">
      <c r="A7" s="2" t="s">
        <v>3</v>
      </c>
      <c r="B7" s="2">
        <v>72</v>
      </c>
      <c r="C7" s="3" t="str">
        <f t="shared" ref="C7:C10" si="0">IF(B7&gt;=40,"Pass","Fail")</f>
        <v>Pass</v>
      </c>
    </row>
    <row r="8" spans="1:3" x14ac:dyDescent="0.35">
      <c r="A8" s="2" t="s">
        <v>5</v>
      </c>
      <c r="B8" s="2">
        <v>55</v>
      </c>
      <c r="C8" s="3" t="str">
        <f t="shared" si="0"/>
        <v>Pass</v>
      </c>
    </row>
    <row r="9" spans="1:3" x14ac:dyDescent="0.35">
      <c r="A9" s="2" t="s">
        <v>2</v>
      </c>
      <c r="B9" s="2">
        <v>80</v>
      </c>
      <c r="C9" s="3" t="str">
        <f t="shared" si="0"/>
        <v>Pass</v>
      </c>
    </row>
    <row r="10" spans="1:3" x14ac:dyDescent="0.35">
      <c r="A10" s="2" t="s">
        <v>4</v>
      </c>
      <c r="B10" s="2">
        <v>30</v>
      </c>
      <c r="C10" s="3" t="str">
        <f t="shared" si="0"/>
        <v>Fail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4E0C8-1B13-4E7B-8CDC-291C0E140B4E}">
  <dimension ref="A1:D9"/>
  <sheetViews>
    <sheetView showGridLines="0" workbookViewId="0">
      <selection activeCell="D17" sqref="D17"/>
    </sheetView>
  </sheetViews>
  <sheetFormatPr defaultRowHeight="14.5" x14ac:dyDescent="0.35"/>
  <cols>
    <col min="1" max="1" width="9" bestFit="1" customWidth="1"/>
    <col min="2" max="2" width="5.81640625" bestFit="1" customWidth="1"/>
    <col min="3" max="3" width="10.36328125" bestFit="1" customWidth="1"/>
  </cols>
  <sheetData>
    <row r="1" spans="1:4" s="15" customFormat="1" x14ac:dyDescent="0.35">
      <c r="A1" s="15" t="s">
        <v>10</v>
      </c>
    </row>
    <row r="3" spans="1:4" x14ac:dyDescent="0.35">
      <c r="A3" t="s">
        <v>8</v>
      </c>
    </row>
    <row r="5" spans="1:4" x14ac:dyDescent="0.35">
      <c r="A5" s="2" t="s">
        <v>11</v>
      </c>
      <c r="B5" s="2" t="s">
        <v>12</v>
      </c>
      <c r="C5" s="2" t="s">
        <v>13</v>
      </c>
      <c r="D5" s="4" t="s">
        <v>18</v>
      </c>
    </row>
    <row r="6" spans="1:4" x14ac:dyDescent="0.35">
      <c r="A6" s="2" t="s">
        <v>14</v>
      </c>
      <c r="B6" s="2">
        <v>55000</v>
      </c>
      <c r="C6" s="2">
        <v>95</v>
      </c>
      <c r="D6" s="3" t="str">
        <f>IF(AND(B6&gt;40000,C6&gt;=90),"Yes","No")</f>
        <v>Yes</v>
      </c>
    </row>
    <row r="7" spans="1:4" x14ac:dyDescent="0.35">
      <c r="A7" s="2" t="s">
        <v>16</v>
      </c>
      <c r="B7" s="2">
        <v>65000</v>
      </c>
      <c r="C7" s="2">
        <v>85</v>
      </c>
      <c r="D7" s="3" t="str">
        <f t="shared" ref="D7:D9" si="0">IF(AND(B7&gt;40000,C7&gt;=90),"Yes","No")</f>
        <v>No</v>
      </c>
    </row>
    <row r="8" spans="1:4" x14ac:dyDescent="0.35">
      <c r="A8" s="2" t="s">
        <v>17</v>
      </c>
      <c r="B8" s="2">
        <v>30000</v>
      </c>
      <c r="C8" s="2">
        <v>90</v>
      </c>
      <c r="D8" s="3" t="str">
        <f t="shared" si="0"/>
        <v>No</v>
      </c>
    </row>
    <row r="9" spans="1:4" x14ac:dyDescent="0.35">
      <c r="A9" s="2" t="s">
        <v>15</v>
      </c>
      <c r="B9" s="2">
        <v>25000</v>
      </c>
      <c r="C9" s="2">
        <v>65</v>
      </c>
      <c r="D9" s="3" t="str">
        <f t="shared" si="0"/>
        <v>No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09B03-0C26-4074-AABF-00C40105827C}">
  <dimension ref="A1:C10"/>
  <sheetViews>
    <sheetView showGridLines="0" workbookViewId="0">
      <selection sqref="A1:XFD1"/>
    </sheetView>
  </sheetViews>
  <sheetFormatPr defaultRowHeight="14.5" x14ac:dyDescent="0.35"/>
  <cols>
    <col min="1" max="1" width="12.6328125" bestFit="1" customWidth="1"/>
    <col min="2" max="2" width="6" bestFit="1" customWidth="1"/>
  </cols>
  <sheetData>
    <row r="1" spans="1:3" s="15" customFormat="1" x14ac:dyDescent="0.35">
      <c r="A1" s="15" t="s">
        <v>19</v>
      </c>
    </row>
    <row r="3" spans="1:3" x14ac:dyDescent="0.35">
      <c r="A3" t="s">
        <v>8</v>
      </c>
    </row>
    <row r="5" spans="1:3" x14ac:dyDescent="0.35">
      <c r="A5" s="5" t="s">
        <v>6</v>
      </c>
      <c r="B5" s="5" t="s">
        <v>7</v>
      </c>
      <c r="C5" s="1" t="s">
        <v>26</v>
      </c>
    </row>
    <row r="6" spans="1:3" x14ac:dyDescent="0.35">
      <c r="A6" s="5" t="s">
        <v>21</v>
      </c>
      <c r="B6" s="5">
        <v>85</v>
      </c>
      <c r="C6" s="3" t="str">
        <f>IF(B6&gt;=90,"A",IF(B6&gt;=75,"B",IF(B6&gt;=50,"C","Fail")))</f>
        <v>B</v>
      </c>
    </row>
    <row r="7" spans="1:3" x14ac:dyDescent="0.35">
      <c r="A7" s="5" t="s">
        <v>23</v>
      </c>
      <c r="B7" s="5">
        <v>96</v>
      </c>
      <c r="C7" s="3" t="str">
        <f t="shared" ref="C7:C10" si="0">IF(B7&gt;=90,"A",IF(B7&gt;=75,"B",IF(B7&gt;=50,"C","Fail")))</f>
        <v>A</v>
      </c>
    </row>
    <row r="8" spans="1:3" x14ac:dyDescent="0.35">
      <c r="A8" s="5" t="s">
        <v>25</v>
      </c>
      <c r="B8" s="5">
        <v>57</v>
      </c>
      <c r="C8" s="3" t="str">
        <f t="shared" si="0"/>
        <v>C</v>
      </c>
    </row>
    <row r="9" spans="1:3" x14ac:dyDescent="0.35">
      <c r="A9" s="5" t="s">
        <v>22</v>
      </c>
      <c r="B9" s="5">
        <v>92</v>
      </c>
      <c r="C9" s="3" t="str">
        <f t="shared" si="0"/>
        <v>A</v>
      </c>
    </row>
    <row r="10" spans="1:3" x14ac:dyDescent="0.35">
      <c r="A10" s="5" t="s">
        <v>24</v>
      </c>
      <c r="B10" s="5">
        <v>75</v>
      </c>
      <c r="C10" s="3" t="str">
        <f t="shared" si="0"/>
        <v>B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6823C-DE80-46CC-852A-D617ED57811F}">
  <dimension ref="A1:F11"/>
  <sheetViews>
    <sheetView showGridLines="0" workbookViewId="0">
      <selection sqref="A1:XFD1"/>
    </sheetView>
  </sheetViews>
  <sheetFormatPr defaultRowHeight="14.5" x14ac:dyDescent="0.35"/>
  <cols>
    <col min="1" max="1" width="6.36328125" bestFit="1" customWidth="1"/>
    <col min="2" max="2" width="6.453125" bestFit="1" customWidth="1"/>
    <col min="3" max="3" width="10.90625" bestFit="1" customWidth="1"/>
  </cols>
  <sheetData>
    <row r="1" spans="1:6" s="15" customFormat="1" x14ac:dyDescent="0.35">
      <c r="A1" s="15" t="s">
        <v>27</v>
      </c>
    </row>
    <row r="3" spans="1:6" x14ac:dyDescent="0.35">
      <c r="A3" t="s">
        <v>8</v>
      </c>
    </row>
    <row r="5" spans="1:6" x14ac:dyDescent="0.35">
      <c r="A5" s="2" t="s">
        <v>28</v>
      </c>
      <c r="B5" s="2" t="s">
        <v>20</v>
      </c>
      <c r="C5" s="2" t="s">
        <v>29</v>
      </c>
      <c r="E5" s="2" t="s">
        <v>28</v>
      </c>
    </row>
    <row r="6" spans="1:6" x14ac:dyDescent="0.35">
      <c r="A6" s="2" t="s">
        <v>30</v>
      </c>
      <c r="B6" s="2" t="s">
        <v>5</v>
      </c>
      <c r="C6" s="2" t="s">
        <v>31</v>
      </c>
      <c r="E6" s="2" t="s">
        <v>36</v>
      </c>
      <c r="F6" s="6" t="str">
        <f>VLOOKUP(E6,A5:C9,3)</f>
        <v>Finance</v>
      </c>
    </row>
    <row r="7" spans="1:6" x14ac:dyDescent="0.35">
      <c r="A7" s="2" t="s">
        <v>34</v>
      </c>
      <c r="B7" s="2" t="s">
        <v>1</v>
      </c>
      <c r="C7" s="2" t="s">
        <v>35</v>
      </c>
    </row>
    <row r="8" spans="1:6" x14ac:dyDescent="0.35">
      <c r="A8" s="2" t="s">
        <v>36</v>
      </c>
      <c r="B8" s="2" t="s">
        <v>37</v>
      </c>
      <c r="C8" s="2" t="s">
        <v>38</v>
      </c>
    </row>
    <row r="9" spans="1:6" x14ac:dyDescent="0.35">
      <c r="A9" s="2" t="s">
        <v>32</v>
      </c>
      <c r="B9" s="2" t="s">
        <v>33</v>
      </c>
      <c r="C9" s="2" t="s">
        <v>12</v>
      </c>
    </row>
    <row r="11" spans="1:6" x14ac:dyDescent="0.35">
      <c r="F11" s="7" t="s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84D9C-675E-428A-B147-492FE86B9F9F}">
  <dimension ref="A1:E17"/>
  <sheetViews>
    <sheetView showGridLines="0" workbookViewId="0">
      <selection sqref="A1:XFD1"/>
    </sheetView>
  </sheetViews>
  <sheetFormatPr defaultRowHeight="14.5" x14ac:dyDescent="0.35"/>
  <cols>
    <col min="1" max="1" width="12.1796875" bestFit="1" customWidth="1"/>
    <col min="2" max="2" width="15.26953125" bestFit="1" customWidth="1"/>
    <col min="4" max="4" width="11.36328125" bestFit="1" customWidth="1"/>
    <col min="5" max="5" width="15.26953125" bestFit="1" customWidth="1"/>
  </cols>
  <sheetData>
    <row r="1" spans="1:5" s="14" customFormat="1" x14ac:dyDescent="0.35">
      <c r="A1" s="15" t="s">
        <v>40</v>
      </c>
    </row>
    <row r="3" spans="1:5" x14ac:dyDescent="0.35">
      <c r="A3" s="2" t="s">
        <v>41</v>
      </c>
      <c r="B3" s="2" t="s">
        <v>42</v>
      </c>
    </row>
    <row r="4" spans="1:5" x14ac:dyDescent="0.35">
      <c r="A4" s="2">
        <v>0</v>
      </c>
      <c r="B4" s="9">
        <v>0.05</v>
      </c>
    </row>
    <row r="5" spans="1:5" x14ac:dyDescent="0.35">
      <c r="A5" s="2">
        <v>20000</v>
      </c>
      <c r="B5" s="9">
        <v>0.1</v>
      </c>
    </row>
    <row r="6" spans="1:5" x14ac:dyDescent="0.35">
      <c r="A6" s="2">
        <v>50000</v>
      </c>
      <c r="B6" s="9">
        <v>0.15</v>
      </c>
    </row>
    <row r="7" spans="1:5" x14ac:dyDescent="0.35">
      <c r="A7" s="2">
        <v>80000</v>
      </c>
      <c r="B7" s="9">
        <v>0.2</v>
      </c>
    </row>
    <row r="9" spans="1:5" x14ac:dyDescent="0.35">
      <c r="A9" t="s">
        <v>43</v>
      </c>
    </row>
    <row r="11" spans="1:5" x14ac:dyDescent="0.35">
      <c r="A11" t="s">
        <v>8</v>
      </c>
    </row>
    <row r="13" spans="1:5" x14ac:dyDescent="0.35">
      <c r="A13" s="2" t="s">
        <v>41</v>
      </c>
      <c r="B13" s="2" t="s">
        <v>42</v>
      </c>
      <c r="D13" s="8" t="s">
        <v>44</v>
      </c>
      <c r="E13" s="8" t="s">
        <v>42</v>
      </c>
    </row>
    <row r="14" spans="1:5" x14ac:dyDescent="0.35">
      <c r="A14" s="2">
        <v>0</v>
      </c>
      <c r="B14" s="9">
        <v>0.05</v>
      </c>
      <c r="D14" s="8">
        <v>45000</v>
      </c>
      <c r="E14" s="10">
        <f>VLOOKUP(D14,A13:B17,2,TRUE)</f>
        <v>0.1</v>
      </c>
    </row>
    <row r="15" spans="1:5" x14ac:dyDescent="0.35">
      <c r="A15" s="2">
        <v>20000</v>
      </c>
      <c r="B15" s="9">
        <v>0.1</v>
      </c>
    </row>
    <row r="16" spans="1:5" x14ac:dyDescent="0.35">
      <c r="A16" s="2">
        <v>50000</v>
      </c>
      <c r="B16" s="9">
        <v>0.15</v>
      </c>
    </row>
    <row r="17" spans="1:2" x14ac:dyDescent="0.35">
      <c r="A17" s="2">
        <v>80000</v>
      </c>
      <c r="B17" s="9">
        <v>0.2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F3921-79E7-4C1C-A08B-B34454F5673E}">
  <dimension ref="A1:D15"/>
  <sheetViews>
    <sheetView showGridLines="0" workbookViewId="0">
      <selection sqref="A1:XFD1"/>
    </sheetView>
  </sheetViews>
  <sheetFormatPr defaultRowHeight="14.5" x14ac:dyDescent="0.35"/>
  <cols>
    <col min="1" max="1" width="14.453125" bestFit="1" customWidth="1"/>
    <col min="2" max="2" width="11.81640625" bestFit="1" customWidth="1"/>
    <col min="3" max="3" width="13.6328125" bestFit="1" customWidth="1"/>
    <col min="8" max="8" width="14" bestFit="1" customWidth="1"/>
  </cols>
  <sheetData>
    <row r="1" spans="1:4" s="14" customFormat="1" x14ac:dyDescent="0.35">
      <c r="A1" s="15" t="s">
        <v>45</v>
      </c>
    </row>
    <row r="3" spans="1:4" x14ac:dyDescent="0.35">
      <c r="A3" s="2" t="s">
        <v>46</v>
      </c>
      <c r="B3" s="2" t="s">
        <v>47</v>
      </c>
      <c r="C3" s="2" t="s">
        <v>48</v>
      </c>
    </row>
    <row r="4" spans="1:4" x14ac:dyDescent="0.35">
      <c r="A4" s="2" t="s">
        <v>49</v>
      </c>
      <c r="B4" s="2">
        <v>10</v>
      </c>
      <c r="C4" s="2">
        <v>12</v>
      </c>
    </row>
    <row r="5" spans="1:4" x14ac:dyDescent="0.35">
      <c r="A5" s="2" t="s">
        <v>50</v>
      </c>
      <c r="B5" s="2">
        <v>10</v>
      </c>
      <c r="C5" s="2">
        <v>15</v>
      </c>
    </row>
    <row r="6" spans="1:4" x14ac:dyDescent="0.35">
      <c r="A6" s="2" t="s">
        <v>51</v>
      </c>
      <c r="B6" s="2">
        <v>8</v>
      </c>
      <c r="C6" s="2">
        <v>12</v>
      </c>
    </row>
    <row r="8" spans="1:4" x14ac:dyDescent="0.35">
      <c r="A8" t="s">
        <v>52</v>
      </c>
    </row>
    <row r="10" spans="1:4" x14ac:dyDescent="0.35">
      <c r="A10" t="s">
        <v>8</v>
      </c>
    </row>
    <row r="12" spans="1:4" x14ac:dyDescent="0.35">
      <c r="A12" s="2" t="s">
        <v>46</v>
      </c>
      <c r="B12" s="2" t="s">
        <v>47</v>
      </c>
      <c r="C12" s="2" t="s">
        <v>48</v>
      </c>
      <c r="D12" s="4" t="s">
        <v>53</v>
      </c>
    </row>
    <row r="13" spans="1:4" x14ac:dyDescent="0.35">
      <c r="A13" s="2" t="s">
        <v>49</v>
      </c>
      <c r="B13" s="2">
        <v>10</v>
      </c>
      <c r="C13" s="2">
        <v>12</v>
      </c>
      <c r="D13" s="3" t="str">
        <f>IF(B13&gt;C13,"Exceeded","OK")</f>
        <v>OK</v>
      </c>
    </row>
    <row r="14" spans="1:4" x14ac:dyDescent="0.35">
      <c r="A14" s="2" t="s">
        <v>50</v>
      </c>
      <c r="B14" s="2">
        <v>10</v>
      </c>
      <c r="C14" s="2">
        <v>15</v>
      </c>
      <c r="D14" s="3" t="str">
        <f t="shared" ref="D14:D15" si="0">IF(B14&gt;C14,"Exceeded","OK")</f>
        <v>OK</v>
      </c>
    </row>
    <row r="15" spans="1:4" x14ac:dyDescent="0.35">
      <c r="A15" s="2" t="s">
        <v>51</v>
      </c>
      <c r="B15" s="2">
        <v>8</v>
      </c>
      <c r="C15" s="2">
        <v>12</v>
      </c>
      <c r="D15" s="3" t="str">
        <f t="shared" si="0"/>
        <v>OK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40E33-BACC-4D09-A44F-C85918E18451}">
  <dimension ref="A1:E16"/>
  <sheetViews>
    <sheetView showGridLines="0" workbookViewId="0">
      <selection sqref="A1:XFD1"/>
    </sheetView>
  </sheetViews>
  <sheetFormatPr defaultRowHeight="14.5" x14ac:dyDescent="0.35"/>
  <sheetData>
    <row r="1" spans="1:5" s="15" customFormat="1" x14ac:dyDescent="0.35">
      <c r="A1" s="15" t="s">
        <v>54</v>
      </c>
    </row>
    <row r="3" spans="1:5" x14ac:dyDescent="0.35">
      <c r="A3" s="2" t="s">
        <v>28</v>
      </c>
      <c r="B3" s="2" t="s">
        <v>55</v>
      </c>
    </row>
    <row r="4" spans="1:5" x14ac:dyDescent="0.35">
      <c r="A4" s="2" t="s">
        <v>32</v>
      </c>
      <c r="B4" s="2">
        <v>55000</v>
      </c>
    </row>
    <row r="5" spans="1:5" x14ac:dyDescent="0.35">
      <c r="A5" s="2" t="s">
        <v>56</v>
      </c>
      <c r="B5" s="2">
        <v>72000</v>
      </c>
    </row>
    <row r="6" spans="1:5" x14ac:dyDescent="0.35">
      <c r="A6" s="2" t="s">
        <v>57</v>
      </c>
      <c r="B6" s="2">
        <v>62000</v>
      </c>
    </row>
    <row r="7" spans="1:5" x14ac:dyDescent="0.35">
      <c r="A7" s="2" t="s">
        <v>34</v>
      </c>
      <c r="B7" s="2">
        <v>41000</v>
      </c>
    </row>
    <row r="10" spans="1:5" x14ac:dyDescent="0.35">
      <c r="A10" s="7" t="s">
        <v>8</v>
      </c>
    </row>
    <row r="12" spans="1:5" x14ac:dyDescent="0.35">
      <c r="A12" s="2" t="s">
        <v>28</v>
      </c>
      <c r="B12" s="2" t="s">
        <v>55</v>
      </c>
      <c r="D12" s="2" t="s">
        <v>56</v>
      </c>
      <c r="E12" s="6">
        <f>INDEX($A$12:$B$16,MATCH(A14,A12:A16,0),MATCH(B12,A12:B12,0))</f>
        <v>72000</v>
      </c>
    </row>
    <row r="13" spans="1:5" x14ac:dyDescent="0.35">
      <c r="A13" s="2" t="s">
        <v>32</v>
      </c>
      <c r="B13" s="2">
        <v>55000</v>
      </c>
    </row>
    <row r="14" spans="1:5" x14ac:dyDescent="0.35">
      <c r="A14" s="2" t="s">
        <v>56</v>
      </c>
      <c r="B14" s="2">
        <v>72000</v>
      </c>
    </row>
    <row r="15" spans="1:5" x14ac:dyDescent="0.35">
      <c r="A15" s="2" t="s">
        <v>57</v>
      </c>
      <c r="B15" s="2">
        <v>62000</v>
      </c>
    </row>
    <row r="16" spans="1:5" x14ac:dyDescent="0.35">
      <c r="A16" s="2" t="s">
        <v>34</v>
      </c>
      <c r="B16" s="2">
        <v>41000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2282C-6076-4080-B05F-3FA85D371BE4}">
  <dimension ref="A1:L15"/>
  <sheetViews>
    <sheetView showGridLines="0" workbookViewId="0">
      <selection activeCell="A9" sqref="A9"/>
    </sheetView>
  </sheetViews>
  <sheetFormatPr defaultRowHeight="14.5" x14ac:dyDescent="0.35"/>
  <cols>
    <col min="1" max="1" width="6.36328125" bestFit="1" customWidth="1"/>
    <col min="2" max="2" width="7.1796875" bestFit="1" customWidth="1"/>
    <col min="5" max="5" width="33.08984375" bestFit="1" customWidth="1"/>
  </cols>
  <sheetData>
    <row r="1" spans="1:12" s="15" customFormat="1" x14ac:dyDescent="0.35">
      <c r="A1" s="15" t="s">
        <v>58</v>
      </c>
    </row>
    <row r="3" spans="1:12" x14ac:dyDescent="0.35">
      <c r="A3" s="2" t="s">
        <v>28</v>
      </c>
      <c r="B3" s="2" t="s">
        <v>55</v>
      </c>
    </row>
    <row r="4" spans="1:12" x14ac:dyDescent="0.35">
      <c r="A4" s="2" t="s">
        <v>30</v>
      </c>
      <c r="B4" s="2" t="s">
        <v>35</v>
      </c>
    </row>
    <row r="5" spans="1:12" x14ac:dyDescent="0.35">
      <c r="A5" s="2" t="s">
        <v>60</v>
      </c>
      <c r="B5" s="2" t="s">
        <v>31</v>
      </c>
    </row>
    <row r="6" spans="1:12" x14ac:dyDescent="0.35">
      <c r="A6" s="2" t="s">
        <v>57</v>
      </c>
      <c r="B6" s="2" t="s">
        <v>12</v>
      </c>
    </row>
    <row r="7" spans="1:12" x14ac:dyDescent="0.35">
      <c r="A7" s="2" t="s">
        <v>59</v>
      </c>
      <c r="B7" s="2" t="s">
        <v>38</v>
      </c>
    </row>
    <row r="9" spans="1:12" x14ac:dyDescent="0.35">
      <c r="A9" s="7" t="s">
        <v>8</v>
      </c>
    </row>
    <row r="11" spans="1:12" x14ac:dyDescent="0.35">
      <c r="A11" s="2" t="s">
        <v>28</v>
      </c>
      <c r="B11" s="2" t="s">
        <v>55</v>
      </c>
      <c r="D11" s="2" t="s">
        <v>60</v>
      </c>
      <c r="E11" s="11" t="s">
        <v>62</v>
      </c>
    </row>
    <row r="12" spans="1:12" x14ac:dyDescent="0.35">
      <c r="A12" s="2" t="s">
        <v>30</v>
      </c>
      <c r="B12" s="2" t="s">
        <v>35</v>
      </c>
    </row>
    <row r="13" spans="1:12" x14ac:dyDescent="0.35">
      <c r="A13" s="2" t="s">
        <v>60</v>
      </c>
      <c r="B13" s="2" t="s">
        <v>31</v>
      </c>
      <c r="D13" s="13" t="s">
        <v>61</v>
      </c>
      <c r="E13" s="12"/>
      <c r="F13" s="12"/>
      <c r="G13" s="12"/>
      <c r="H13" s="12"/>
      <c r="I13" s="12"/>
      <c r="J13" s="12"/>
      <c r="K13" s="12"/>
      <c r="L13" s="12"/>
    </row>
    <row r="14" spans="1:12" x14ac:dyDescent="0.35">
      <c r="A14" s="2" t="s">
        <v>57</v>
      </c>
      <c r="B14" s="2" t="s">
        <v>12</v>
      </c>
    </row>
    <row r="15" spans="1:12" x14ac:dyDescent="0.35">
      <c r="A15" s="2" t="s">
        <v>59</v>
      </c>
      <c r="B15" s="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Q-1</vt:lpstr>
      <vt:lpstr>Q-2</vt:lpstr>
      <vt:lpstr>Q-3</vt:lpstr>
      <vt:lpstr>Q-4</vt:lpstr>
      <vt:lpstr>Q-5</vt:lpstr>
      <vt:lpstr>Q-6</vt:lpstr>
      <vt:lpstr>Q-7</vt:lpstr>
      <vt:lpstr>Q-8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Sharma</dc:creator>
  <cp:lastModifiedBy>Shubham Sharma</cp:lastModifiedBy>
  <dcterms:created xsi:type="dcterms:W3CDTF">2025-12-10T16:48:39Z</dcterms:created>
  <dcterms:modified xsi:type="dcterms:W3CDTF">2025-12-10T17:55:57Z</dcterms:modified>
</cp:coreProperties>
</file>