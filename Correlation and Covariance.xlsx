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aca8e73e0b3cea/Desktop/"/>
    </mc:Choice>
  </mc:AlternateContent>
  <xr:revisionPtr revIDLastSave="215" documentId="8_{94FDE373-C4D9-41AD-894A-2C5F806DD2C5}" xr6:coauthVersionLast="47" xr6:coauthVersionMax="47" xr10:uidLastSave="{41C913F1-563F-4F94-8D5C-472178F83709}"/>
  <bookViews>
    <workbookView xWindow="-110" yWindow="-110" windowWidth="19420" windowHeight="10300" xr2:uid="{55D725F1-BB8C-4F14-B267-289E554214F5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0" l="1"/>
  <c r="B12" i="10"/>
  <c r="A8" i="8"/>
  <c r="B8" i="7"/>
  <c r="A8" i="6"/>
</calcChain>
</file>

<file path=xl/sharedStrings.xml><?xml version="1.0" encoding="utf-8"?>
<sst xmlns="http://schemas.openxmlformats.org/spreadsheetml/2006/main" count="178" uniqueCount="155">
  <si>
    <t>Q1. Define Covariance and explain how it differs from Correlation in terms of scale and interpretation.</t>
  </si>
  <si>
    <t>Ans.</t>
  </si>
  <si>
    <t>Covariance</t>
  </si>
  <si>
    <t>Aspect</t>
  </si>
  <si>
    <t>Correlation</t>
  </si>
  <si>
    <t>Scale</t>
  </si>
  <si>
    <t>Depends on the units of the variables</t>
  </si>
  <si>
    <t>Unit-free (standardized)</t>
  </si>
  <si>
    <t>Range</t>
  </si>
  <si>
    <t>Unbounded</t>
  </si>
  <si>
    <r>
      <t xml:space="preserve">Between </t>
    </r>
    <r>
      <rPr>
        <b/>
        <sz val="11"/>
        <color theme="1"/>
        <rFont val="Aptos Narrow"/>
        <family val="2"/>
        <scheme val="minor"/>
      </rPr>
      <t>–1 and +1</t>
    </r>
  </si>
  <si>
    <t>Interpretation</t>
  </si>
  <si>
    <r>
      <t xml:space="preserve">Shows only the </t>
    </r>
    <r>
      <rPr>
        <b/>
        <sz val="11"/>
        <color theme="1"/>
        <rFont val="Aptos Narrow"/>
        <family val="2"/>
        <scheme val="minor"/>
      </rPr>
      <t>direction</t>
    </r>
    <r>
      <rPr>
        <sz val="11"/>
        <color theme="1"/>
        <rFont val="Aptos Narrow"/>
        <family val="2"/>
        <scheme val="minor"/>
      </rPr>
      <t xml:space="preserve"> of relationship</t>
    </r>
  </si>
  <si>
    <r>
      <t xml:space="preserve">Shows both </t>
    </r>
    <r>
      <rPr>
        <b/>
        <sz val="11"/>
        <color theme="1"/>
        <rFont val="Aptos Narrow"/>
        <family val="2"/>
        <scheme val="minor"/>
      </rPr>
      <t>direction and strength</t>
    </r>
  </si>
  <si>
    <t>Comparability</t>
  </si>
  <si>
    <t>Hard to compare across datasets</t>
  </si>
  <si>
    <t>Easy to compare across datasets</t>
  </si>
  <si>
    <t>Effect of units</t>
  </si>
  <si>
    <t>Changes if units change</t>
  </si>
  <si>
    <t>Unaffected by unit changes</t>
  </si>
  <si>
    <t>Covariance is a statistical measure that indicates the direction of the linear relationship between two variables—whether they tend to increase together or one increases while the other decreases.</t>
  </si>
  <si>
    <t>Positive covariance: both variables move in the same direction</t>
  </si>
  <si>
    <t>Negative covariance: variables move in opposite directions</t>
  </si>
  <si>
    <t>Zero covariance: no linear relationship</t>
  </si>
  <si>
    <t>Q2. What does a positive, negative, and zero covariance indicate about the relationship between two variables?</t>
  </si>
  <si>
    <t>When one variable increases, the other also tends to increase</t>
  </si>
  <si>
    <t>When one decreases, the other also tends to decrease</t>
  </si>
  <si>
    <t>Height and weight — taller people generally weigh more</t>
  </si>
  <si>
    <t>When one variable increases, the other tends to decrease</t>
  </si>
  <si>
    <t>Price of a product and its demand — as price increases, demand decreases</t>
  </si>
  <si>
    <t>Changes in one variable do not predict changes in the other</t>
  </si>
  <si>
    <t>Shoe size and exam score</t>
  </si>
  <si>
    <t>Covariance describes the direction of the linear relationship between two variables.</t>
  </si>
  <si>
    <t>Indicates that both variables move in the same direction</t>
  </si>
  <si>
    <t>📌 Example:</t>
  </si>
  <si>
    <t>Indicates that variables move in opposite directions</t>
  </si>
  <si>
    <t>Indicates no linear relationship between the variables</t>
  </si>
  <si>
    <t>Positive Covariance</t>
  </si>
  <si>
    <t>Negative Covariance</t>
  </si>
  <si>
    <t>Zero Covariance</t>
  </si>
  <si>
    <t>Q3. Discuss the limitations of covariance as a measure of relationship between two variables. Why is correlation preferred in many cases?</t>
  </si>
  <si>
    <t>Limitations of Covariance</t>
  </si>
  <si>
    <t>1. Scale Dependent</t>
  </si>
  <si>
    <t>Changing units (e.g., cm to m) changes the covariance value.</t>
  </si>
  <si>
    <t>2. Difficult to Interpret</t>
  </si>
  <si>
    <t>3. No Measure of Strength</t>
  </si>
  <si>
    <t>4. Poor Comparability</t>
  </si>
  <si>
    <t>5. Sensitive to Outliers</t>
  </si>
  <si>
    <t>Extreme values can disproportionately influence covariance.</t>
  </si>
  <si>
    <t>Why Correlation Is Preferred</t>
  </si>
  <si>
    <t>Correlation overcomes these limitations:</t>
  </si>
  <si>
    <t>Standardized (Unit-free)</t>
  </si>
  <si>
    <t>→ Not affected by units of measurement</t>
  </si>
  <si>
    <t>Fixed Range (–1 to +1)</t>
  </si>
  <si>
    <t>→ Easy to interpret and compare</t>
  </si>
  <si>
    <t>Measures Strength and Direction</t>
  </si>
  <si>
    <t>→ Shows how strongly variables are related</t>
  </si>
  <si>
    <t>Widely Used in Analysis &amp; Modeling</t>
  </si>
  <si>
    <t>→ More practical for real-world data analysis</t>
  </si>
  <si>
    <t>Covariance indicates the direction of the relationship between two variables, but it has several important limitations:</t>
  </si>
  <si>
    <t>The value of covariance depends on the units of measurement of the variables.</t>
  </si>
  <si>
    <t>Covariance values have no fixed range.</t>
  </si>
  <si>
    <t>A value like 200 or 0.02 has no intuitive meaning regarding the strength of the relationship.</t>
  </si>
  <si>
    <t>Covariance only tells the direction (positive/negative), not how strong the relationship is.</t>
  </si>
  <si>
    <t>Covariance values from different datasets cannot be compared because of scale differences.</t>
  </si>
  <si>
    <t>Q4. Explain the difference between Pearson’s correlation coefficient and Spearman’s rank correlation coefficient. When would you prefer to use Spearman’s correlation?</t>
  </si>
  <si>
    <t>Difference Between Pearson’s and Spearman’s Correlation Coefficients</t>
  </si>
  <si>
    <t>What it measures</t>
  </si>
  <si>
    <t>Key characteristics</t>
  </si>
  <si>
    <t>Height and weight, salary and experience</t>
  </si>
  <si>
    <t>Rank in exam vs hours studied, customer satisfaction rank vs purchase frequency</t>
  </si>
  <si>
    <t>Key Differences at a Glance</t>
  </si>
  <si>
    <t>Pearson’s Correlation</t>
  </si>
  <si>
    <t>Spearman’s Correlation</t>
  </si>
  <si>
    <t>Data used</t>
  </si>
  <si>
    <t>Raw values</t>
  </si>
  <si>
    <t>Ranks</t>
  </si>
  <si>
    <t>Type of relationship</t>
  </si>
  <si>
    <t>Linear</t>
  </si>
  <si>
    <t>Monotonic</t>
  </si>
  <si>
    <t>Assumptions</t>
  </si>
  <si>
    <t>Normality, linearity</t>
  </si>
  <si>
    <t>No strict assumptions</t>
  </si>
  <si>
    <t>Sensitivity to outliers</t>
  </si>
  <si>
    <t>High</t>
  </si>
  <si>
    <t>Low</t>
  </si>
  <si>
    <t>Data type</t>
  </si>
  <si>
    <t>Continuous</t>
  </si>
  <si>
    <t>Ordinal / continuous</t>
  </si>
  <si>
    <t>Method</t>
  </si>
  <si>
    <t>Parametric</t>
  </si>
  <si>
    <t>Non-parametric</t>
  </si>
  <si>
    <t>When to Prefer Spearman’s Correlation</t>
  </si>
  <si>
    <t>Both Pearson’s correlation coefficient and Spearman’s rank correlation coefficient measure the relationship between two variables, but they differ in what they measure, their assumptions, and when they should be used.</t>
  </si>
  <si>
    <t>Measures the strength and direction of a linear relationship between two continuous variables</t>
  </si>
  <si>
    <t>Uses actual data values</t>
  </si>
  <si>
    <t>Assumes a linear relationship</t>
  </si>
  <si>
    <t>Sensitive to outliers</t>
  </si>
  <si>
    <t>Best when data is normally distributed</t>
  </si>
  <si>
    <t>From –1 to +1</t>
  </si>
  <si>
    <t>📌 Example use:</t>
  </si>
  <si>
    <t>Measures the strength and direction of a monotonic relationship (not necessarily linear)</t>
  </si>
  <si>
    <t>Uses ranked data instead of raw values</t>
  </si>
  <si>
    <t>Non-parametric (no normality assumption)</t>
  </si>
  <si>
    <t>Less sensitive to outliers</t>
  </si>
  <si>
    <t>Works with ordinal data</t>
  </si>
  <si>
    <t>Use Spearman’s correlation when:</t>
  </si>
  <si>
    <t>Data is not normally distributed</t>
  </si>
  <si>
    <t>Relationship is non-linear but monotonic</t>
  </si>
  <si>
    <t>Data contains outliers</t>
  </si>
  <si>
    <t>Data is ordinal (rank-based)</t>
  </si>
  <si>
    <t>Sample size is small</t>
  </si>
  <si>
    <t>Pearson’s Correlation Coefficient (r)</t>
  </si>
  <si>
    <t>Spearman’s Rank Correlation Coefficient (ρ or rs)</t>
  </si>
  <si>
    <t>Q5. If the correlation coefficient between two variables X and Y is 0.85, interpret this value in context. Can you infer causation from this value? Why or why not?</t>
  </si>
  <si>
    <t>Interpretation of a Correlation Coefficient of 0.85</t>
  </si>
  <si>
    <r>
      <t xml:space="preserve">A correlation coefficient of </t>
    </r>
    <r>
      <rPr>
        <b/>
        <sz val="11"/>
        <color theme="1"/>
        <rFont val="Aptos Narrow"/>
        <family val="2"/>
        <scheme val="minor"/>
      </rPr>
      <t>0.85</t>
    </r>
    <r>
      <rPr>
        <sz val="11"/>
        <color theme="1"/>
        <rFont val="Aptos Narrow"/>
        <family val="2"/>
        <scheme val="minor"/>
      </rPr>
      <t xml:space="preserve"> indicates a </t>
    </r>
    <r>
      <rPr>
        <b/>
        <sz val="11"/>
        <color theme="1"/>
        <rFont val="Aptos Narrow"/>
        <family val="2"/>
        <scheme val="minor"/>
      </rPr>
      <t>strong positive linear relationship</t>
    </r>
    <r>
      <rPr>
        <sz val="11"/>
        <color theme="1"/>
        <rFont val="Aptos Narrow"/>
        <family val="2"/>
        <scheme val="minor"/>
      </rPr>
      <t xml:space="preserve"> between variables </t>
    </r>
    <r>
      <rPr>
        <b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>.</t>
    </r>
  </si>
  <si>
    <r>
      <t xml:space="preserve">As </t>
    </r>
    <r>
      <rPr>
        <b/>
        <sz val="11"/>
        <color theme="1"/>
        <rFont val="Aptos Narrow"/>
        <family val="2"/>
        <scheme val="minor"/>
      </rPr>
      <t>X increases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Y tends to increase</t>
    </r>
  </si>
  <si>
    <r>
      <t xml:space="preserve">The value is close to </t>
    </r>
    <r>
      <rPr>
        <b/>
        <sz val="11"/>
        <color theme="1"/>
        <rFont val="Aptos Narrow"/>
        <family val="2"/>
        <scheme val="minor"/>
      </rPr>
      <t>+1</t>
    </r>
    <r>
      <rPr>
        <sz val="11"/>
        <color theme="1"/>
        <rFont val="Aptos Narrow"/>
        <family val="2"/>
        <scheme val="minor"/>
      </rPr>
      <t xml:space="preserve">, showing a </t>
    </r>
    <r>
      <rPr>
        <b/>
        <sz val="11"/>
        <color theme="1"/>
        <rFont val="Aptos Narrow"/>
        <family val="2"/>
        <scheme val="minor"/>
      </rPr>
      <t>high degree of association</t>
    </r>
  </si>
  <si>
    <t>The data points would lie fairly close to an upward-sloping straight line</t>
  </si>
  <si>
    <t>Can You Infer Causation from This Value?</t>
  </si>
  <si>
    <t>Why Correlation Does NOT Imply Causation</t>
  </si>
  <si>
    <t>1. Direction is unclear</t>
  </si>
  <si>
    <t>X may influence Y, Y may influence X, or both may be influenced by another variable</t>
  </si>
  <si>
    <t>2. Third (confounding) variables</t>
  </si>
  <si>
    <t>A hidden variable could be affecting both X and Y</t>
  </si>
  <si>
    <t>3. Coincidental relationships</t>
  </si>
  <si>
    <t>Strong correlations can occur by chance, especially in observational data</t>
  </si>
  <si>
    <t>4. Correlation only measures association</t>
  </si>
  <si>
    <r>
      <t xml:space="preserve">It does not explain the </t>
    </r>
    <r>
      <rPr>
        <b/>
        <sz val="11"/>
        <color theme="1"/>
        <rFont val="Aptos Narrow"/>
        <family val="2"/>
        <scheme val="minor"/>
      </rPr>
      <t>mechanism or cause-effect relationship</t>
    </r>
  </si>
  <si>
    <t>No, causation cannot be inferred from correlation alone.</t>
  </si>
  <si>
    <t>Q6. Using the dataset below, calculate the covariance between X and Y.</t>
  </si>
  <si>
    <t>X</t>
  </si>
  <si>
    <t>Y</t>
  </si>
  <si>
    <t>Q7. Compute the Pearson correlation coefficient between variables A and B:</t>
  </si>
  <si>
    <t>A</t>
  </si>
  <si>
    <t>B</t>
  </si>
  <si>
    <t>Q8. The following table shows heights (in cm) and weights (in kg) of 5 students.  Find the correlation coefficient between Height and Weight.</t>
  </si>
  <si>
    <t>Height</t>
  </si>
  <si>
    <t>Weight</t>
  </si>
  <si>
    <t>Q9. Given the dataset below, determine whether there is a positive or negative correlation between X and Y.  (No need for exact calculation, just reasoning.)</t>
  </si>
  <si>
    <t>Determining the Type of Correlation (By Reasoning)</t>
  </si>
  <si>
    <r>
      <t xml:space="preserve">As </t>
    </r>
    <r>
      <rPr>
        <b/>
        <sz val="11"/>
        <color theme="1"/>
        <rFont val="Aptos Narrow"/>
        <family val="2"/>
        <scheme val="minor"/>
      </rPr>
      <t>X increases</t>
    </r>
    <r>
      <rPr>
        <sz val="11"/>
        <color theme="1"/>
        <rFont val="Aptos Narrow"/>
        <family val="2"/>
        <scheme val="minor"/>
      </rPr>
      <t xml:space="preserve"> from 1 to 5</t>
    </r>
  </si>
  <si>
    <r>
      <t>Y decreases</t>
    </r>
    <r>
      <rPr>
        <sz val="11"/>
        <color theme="1"/>
        <rFont val="Aptos Narrow"/>
        <family val="2"/>
        <scheme val="minor"/>
      </rPr>
      <t xml:space="preserve"> from 15 to 3</t>
    </r>
  </si>
  <si>
    <r>
      <t xml:space="preserve">This means the two variables move in </t>
    </r>
    <r>
      <rPr>
        <b/>
        <sz val="11"/>
        <color theme="1"/>
        <rFont val="Aptos Narrow"/>
        <family val="2"/>
        <scheme val="minor"/>
      </rPr>
      <t>opposite directions</t>
    </r>
    <r>
      <rPr>
        <sz val="11"/>
        <color theme="1"/>
        <rFont val="Aptos Narrow"/>
        <family val="2"/>
        <scheme val="minor"/>
      </rPr>
      <t>.</t>
    </r>
  </si>
  <si>
    <r>
      <t xml:space="preserve">There is a </t>
    </r>
    <r>
      <rPr>
        <b/>
        <sz val="11"/>
        <color theme="1"/>
        <rFont val="Aptos Narrow"/>
        <family val="2"/>
        <scheme val="minor"/>
      </rPr>
      <t>negative correlation</t>
    </r>
    <r>
      <rPr>
        <sz val="11"/>
        <color theme="1"/>
        <rFont val="Aptos Narrow"/>
        <family val="2"/>
        <scheme val="minor"/>
      </rPr>
      <t xml:space="preserve"> between X and Y.</t>
    </r>
  </si>
  <si>
    <t>Final Answer</t>
  </si>
  <si>
    <t>Q10. Two investment portfolios have the following returns (%) over 5 years. Compute the covariance and correlation coefficient, and interpret whether the portfolios move together</t>
  </si>
  <si>
    <t>Year</t>
  </si>
  <si>
    <t>Portfolio A</t>
  </si>
  <si>
    <t>Portfolio B</t>
  </si>
  <si>
    <t>Covaraiance</t>
  </si>
  <si>
    <t>When Portfolio A’s returns increase, Portfolio B’s returns also increase</t>
  </si>
  <si>
    <r>
      <t xml:space="preserve">The portfolios </t>
    </r>
    <r>
      <rPr>
        <b/>
        <sz val="11"/>
        <color theme="1"/>
        <rFont val="Aptos Narrow"/>
        <family val="2"/>
        <scheme val="minor"/>
      </rPr>
      <t>move together very closely</t>
    </r>
  </si>
  <si>
    <r>
      <t>Correlation ≈ 0.98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Very strong positive correlation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</si>
</sst>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2"/>
    </xf>
    <xf numFmtId="0" fontId="0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/>
    <xf numFmtId="0" fontId="0" fillId="3" borderId="0" xfId="0" applyFill="1"/>
    <xf numFmtId="0" fontId="0" fillId="0" borderId="0" xfId="0" applyAlignment="1"/>
    <xf numFmtId="0" fontId="0" fillId="0" borderId="1" xfId="0" applyBorder="1" applyAlignment="1">
      <alignment horizontal="center"/>
    </xf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4C95-3855-4EDF-9811-2F205F30DD9C}">
  <dimension ref="A1:C20"/>
  <sheetViews>
    <sheetView showGridLines="0" tabSelected="1" workbookViewId="0"/>
  </sheetViews>
  <sheetFormatPr defaultRowHeight="14.5" x14ac:dyDescent="0.35"/>
  <cols>
    <col min="1" max="1" width="12.7265625" bestFit="1" customWidth="1"/>
    <col min="2" max="2" width="32.81640625" bestFit="1" customWidth="1"/>
    <col min="3" max="3" width="29.08984375" bestFit="1" customWidth="1"/>
  </cols>
  <sheetData>
    <row r="1" spans="1:3" s="1" customFormat="1" x14ac:dyDescent="0.35">
      <c r="A1" s="1" t="s">
        <v>0</v>
      </c>
    </row>
    <row r="3" spans="1:3" x14ac:dyDescent="0.35">
      <c r="A3" t="s">
        <v>1</v>
      </c>
    </row>
    <row r="5" spans="1:3" ht="17.5" x14ac:dyDescent="0.35">
      <c r="A5" s="2" t="s">
        <v>2</v>
      </c>
      <c r="B5" s="7"/>
    </row>
    <row r="6" spans="1:3" x14ac:dyDescent="0.35">
      <c r="A6" s="7"/>
      <c r="B6" s="7"/>
    </row>
    <row r="7" spans="1:3" x14ac:dyDescent="0.35">
      <c r="A7" s="7" t="s">
        <v>20</v>
      </c>
      <c r="B7" s="7"/>
    </row>
    <row r="8" spans="1:3" x14ac:dyDescent="0.35">
      <c r="A8" s="8"/>
      <c r="B8" s="7"/>
    </row>
    <row r="9" spans="1:3" x14ac:dyDescent="0.35">
      <c r="A9" s="8" t="s">
        <v>21</v>
      </c>
      <c r="B9" s="7"/>
    </row>
    <row r="10" spans="1:3" x14ac:dyDescent="0.35">
      <c r="A10" s="8"/>
      <c r="B10" s="7"/>
    </row>
    <row r="11" spans="1:3" x14ac:dyDescent="0.35">
      <c r="A11" s="8" t="s">
        <v>22</v>
      </c>
      <c r="B11" s="7"/>
    </row>
    <row r="12" spans="1:3" x14ac:dyDescent="0.35">
      <c r="A12" s="8"/>
      <c r="B12" s="7"/>
    </row>
    <row r="13" spans="1:3" x14ac:dyDescent="0.35">
      <c r="A13" s="8" t="s">
        <v>23</v>
      </c>
      <c r="B13" s="7"/>
    </row>
    <row r="15" spans="1:3" x14ac:dyDescent="0.35">
      <c r="A15" s="9" t="s">
        <v>3</v>
      </c>
      <c r="B15" s="9" t="s">
        <v>2</v>
      </c>
      <c r="C15" s="9" t="s">
        <v>4</v>
      </c>
    </row>
    <row r="16" spans="1:3" x14ac:dyDescent="0.35">
      <c r="A16" s="9" t="s">
        <v>5</v>
      </c>
      <c r="B16" s="10" t="s">
        <v>6</v>
      </c>
      <c r="C16" s="10" t="s">
        <v>7</v>
      </c>
    </row>
    <row r="17" spans="1:3" x14ac:dyDescent="0.35">
      <c r="A17" s="9" t="s">
        <v>8</v>
      </c>
      <c r="B17" s="10" t="s">
        <v>9</v>
      </c>
      <c r="C17" s="10" t="s">
        <v>10</v>
      </c>
    </row>
    <row r="18" spans="1:3" x14ac:dyDescent="0.35">
      <c r="A18" s="9" t="s">
        <v>11</v>
      </c>
      <c r="B18" s="10" t="s">
        <v>12</v>
      </c>
      <c r="C18" s="10" t="s">
        <v>13</v>
      </c>
    </row>
    <row r="19" spans="1:3" x14ac:dyDescent="0.35">
      <c r="A19" s="9" t="s">
        <v>14</v>
      </c>
      <c r="B19" s="10" t="s">
        <v>15</v>
      </c>
      <c r="C19" s="10" t="s">
        <v>16</v>
      </c>
    </row>
    <row r="20" spans="1:3" x14ac:dyDescent="0.35">
      <c r="A20" s="9" t="s">
        <v>17</v>
      </c>
      <c r="B20" s="10" t="s">
        <v>18</v>
      </c>
      <c r="C20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20A-F3C8-48BA-829C-67530618DC2A}">
  <dimension ref="A1:A33"/>
  <sheetViews>
    <sheetView showGridLines="0" workbookViewId="0"/>
  </sheetViews>
  <sheetFormatPr defaultRowHeight="14.5" x14ac:dyDescent="0.35"/>
  <sheetData>
    <row r="1" spans="1:1" s="1" customFormat="1" x14ac:dyDescent="0.35">
      <c r="A1" s="1" t="s">
        <v>24</v>
      </c>
    </row>
    <row r="3" spans="1:1" x14ac:dyDescent="0.35">
      <c r="A3" t="s">
        <v>1</v>
      </c>
    </row>
    <row r="5" spans="1:1" x14ac:dyDescent="0.35">
      <c r="A5" s="7" t="s">
        <v>32</v>
      </c>
    </row>
    <row r="6" spans="1:1" x14ac:dyDescent="0.35">
      <c r="A6" s="7"/>
    </row>
    <row r="7" spans="1:1" x14ac:dyDescent="0.35">
      <c r="A7" s="7"/>
    </row>
    <row r="8" spans="1:1" ht="17.5" x14ac:dyDescent="0.35">
      <c r="A8" s="2" t="s">
        <v>37</v>
      </c>
    </row>
    <row r="9" spans="1:1" x14ac:dyDescent="0.35">
      <c r="A9" s="8"/>
    </row>
    <row r="10" spans="1:1" x14ac:dyDescent="0.35">
      <c r="A10" s="8" t="s">
        <v>33</v>
      </c>
    </row>
    <row r="11" spans="1:1" x14ac:dyDescent="0.35">
      <c r="A11" s="8" t="s">
        <v>25</v>
      </c>
    </row>
    <row r="12" spans="1:1" x14ac:dyDescent="0.35">
      <c r="A12" s="8" t="s">
        <v>26</v>
      </c>
    </row>
    <row r="13" spans="1:1" x14ac:dyDescent="0.35">
      <c r="A13" s="7"/>
    </row>
    <row r="14" spans="1:1" x14ac:dyDescent="0.35">
      <c r="A14" s="7" t="s">
        <v>34</v>
      </c>
    </row>
    <row r="15" spans="1:1" x14ac:dyDescent="0.35">
      <c r="A15" s="7" t="s">
        <v>27</v>
      </c>
    </row>
    <row r="16" spans="1:1" x14ac:dyDescent="0.35">
      <c r="A16" s="7"/>
    </row>
    <row r="17" spans="1:1" x14ac:dyDescent="0.35">
      <c r="A17" s="7"/>
    </row>
    <row r="18" spans="1:1" ht="17.5" x14ac:dyDescent="0.35">
      <c r="A18" s="2" t="s">
        <v>38</v>
      </c>
    </row>
    <row r="19" spans="1:1" x14ac:dyDescent="0.35">
      <c r="A19" s="8"/>
    </row>
    <row r="20" spans="1:1" x14ac:dyDescent="0.35">
      <c r="A20" s="8" t="s">
        <v>35</v>
      </c>
    </row>
    <row r="21" spans="1:1" x14ac:dyDescent="0.35">
      <c r="A21" s="8" t="s">
        <v>28</v>
      </c>
    </row>
    <row r="22" spans="1:1" x14ac:dyDescent="0.35">
      <c r="A22" s="7"/>
    </row>
    <row r="23" spans="1:1" x14ac:dyDescent="0.35">
      <c r="A23" s="7" t="s">
        <v>34</v>
      </c>
    </row>
    <row r="24" spans="1:1" x14ac:dyDescent="0.35">
      <c r="A24" s="7" t="s">
        <v>29</v>
      </c>
    </row>
    <row r="25" spans="1:1" x14ac:dyDescent="0.35">
      <c r="A25" s="7"/>
    </row>
    <row r="26" spans="1:1" x14ac:dyDescent="0.35">
      <c r="A26" s="7"/>
    </row>
    <row r="27" spans="1:1" ht="17.5" x14ac:dyDescent="0.35">
      <c r="A27" s="2" t="s">
        <v>39</v>
      </c>
    </row>
    <row r="28" spans="1:1" x14ac:dyDescent="0.35">
      <c r="A28" s="8"/>
    </row>
    <row r="29" spans="1:1" x14ac:dyDescent="0.35">
      <c r="A29" s="8" t="s">
        <v>36</v>
      </c>
    </row>
    <row r="30" spans="1:1" x14ac:dyDescent="0.35">
      <c r="A30" s="8" t="s">
        <v>30</v>
      </c>
    </row>
    <row r="31" spans="1:1" x14ac:dyDescent="0.35">
      <c r="A31" s="7"/>
    </row>
    <row r="32" spans="1:1" x14ac:dyDescent="0.35">
      <c r="A32" s="7" t="s">
        <v>34</v>
      </c>
    </row>
    <row r="33" spans="1:1" x14ac:dyDescent="0.35">
      <c r="A33" s="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665E-BC53-4590-9CA4-303D384C582A}">
  <dimension ref="A1:A47"/>
  <sheetViews>
    <sheetView showGridLines="0" workbookViewId="0"/>
  </sheetViews>
  <sheetFormatPr defaultRowHeight="14.5" x14ac:dyDescent="0.35"/>
  <sheetData>
    <row r="1" spans="1:1" s="1" customFormat="1" x14ac:dyDescent="0.35">
      <c r="A1" s="1" t="s">
        <v>40</v>
      </c>
    </row>
    <row r="3" spans="1:1" x14ac:dyDescent="0.35">
      <c r="A3" s="12" t="s">
        <v>1</v>
      </c>
    </row>
    <row r="5" spans="1:1" ht="17.5" x14ac:dyDescent="0.35">
      <c r="A5" s="6" t="s">
        <v>41</v>
      </c>
    </row>
    <row r="6" spans="1:1" x14ac:dyDescent="0.35">
      <c r="A6" s="7"/>
    </row>
    <row r="7" spans="1:1" x14ac:dyDescent="0.35">
      <c r="A7" s="7" t="s">
        <v>59</v>
      </c>
    </row>
    <row r="8" spans="1:1" x14ac:dyDescent="0.35">
      <c r="A8" s="8"/>
    </row>
    <row r="9" spans="1:1" x14ac:dyDescent="0.35">
      <c r="A9" s="8" t="s">
        <v>42</v>
      </c>
    </row>
    <row r="10" spans="1:1" x14ac:dyDescent="0.35">
      <c r="A10" s="14"/>
    </row>
    <row r="11" spans="1:1" x14ac:dyDescent="0.35">
      <c r="A11" s="14" t="s">
        <v>60</v>
      </c>
    </row>
    <row r="12" spans="1:1" x14ac:dyDescent="0.35">
      <c r="A12" s="14" t="s">
        <v>43</v>
      </c>
    </row>
    <row r="13" spans="1:1" x14ac:dyDescent="0.35">
      <c r="A13" s="8"/>
    </row>
    <row r="14" spans="1:1" x14ac:dyDescent="0.35">
      <c r="A14" s="8" t="s">
        <v>44</v>
      </c>
    </row>
    <row r="15" spans="1:1" x14ac:dyDescent="0.35">
      <c r="A15" s="8"/>
    </row>
    <row r="16" spans="1:1" x14ac:dyDescent="0.35">
      <c r="A16" s="14" t="s">
        <v>61</v>
      </c>
    </row>
    <row r="17" spans="1:1" x14ac:dyDescent="0.35">
      <c r="A17" s="14" t="s">
        <v>62</v>
      </c>
    </row>
    <row r="18" spans="1:1" x14ac:dyDescent="0.35">
      <c r="A18" s="8"/>
    </row>
    <row r="19" spans="1:1" x14ac:dyDescent="0.35">
      <c r="A19" s="8" t="s">
        <v>45</v>
      </c>
    </row>
    <row r="20" spans="1:1" x14ac:dyDescent="0.35">
      <c r="A20" s="8"/>
    </row>
    <row r="21" spans="1:1" x14ac:dyDescent="0.35">
      <c r="A21" s="14" t="s">
        <v>63</v>
      </c>
    </row>
    <row r="22" spans="1:1" x14ac:dyDescent="0.35">
      <c r="A22" s="8"/>
    </row>
    <row r="23" spans="1:1" x14ac:dyDescent="0.35">
      <c r="A23" s="8" t="s">
        <v>46</v>
      </c>
    </row>
    <row r="24" spans="1:1" x14ac:dyDescent="0.35">
      <c r="A24" s="8"/>
    </row>
    <row r="25" spans="1:1" x14ac:dyDescent="0.35">
      <c r="A25" s="14" t="s">
        <v>64</v>
      </c>
    </row>
    <row r="26" spans="1:1" x14ac:dyDescent="0.35">
      <c r="A26" s="8"/>
    </row>
    <row r="27" spans="1:1" x14ac:dyDescent="0.35">
      <c r="A27" s="8" t="s">
        <v>47</v>
      </c>
    </row>
    <row r="28" spans="1:1" x14ac:dyDescent="0.35">
      <c r="A28" s="8"/>
    </row>
    <row r="29" spans="1:1" x14ac:dyDescent="0.35">
      <c r="A29" s="14" t="s">
        <v>48</v>
      </c>
    </row>
    <row r="30" spans="1:1" x14ac:dyDescent="0.35">
      <c r="A30" s="7"/>
    </row>
    <row r="31" spans="1:1" x14ac:dyDescent="0.35">
      <c r="A31" s="7"/>
    </row>
    <row r="32" spans="1:1" x14ac:dyDescent="0.35">
      <c r="A32" s="7"/>
    </row>
    <row r="33" spans="1:1" ht="17.5" x14ac:dyDescent="0.35">
      <c r="A33" s="6" t="s">
        <v>49</v>
      </c>
    </row>
    <row r="34" spans="1:1" x14ac:dyDescent="0.35">
      <c r="A34" s="7"/>
    </row>
    <row r="35" spans="1:1" x14ac:dyDescent="0.35">
      <c r="A35" s="7" t="s">
        <v>50</v>
      </c>
    </row>
    <row r="36" spans="1:1" x14ac:dyDescent="0.35">
      <c r="A36" s="8"/>
    </row>
    <row r="37" spans="1:1" x14ac:dyDescent="0.35">
      <c r="A37" s="8" t="s">
        <v>51</v>
      </c>
    </row>
    <row r="38" spans="1:1" x14ac:dyDescent="0.35">
      <c r="A38" s="8" t="s">
        <v>52</v>
      </c>
    </row>
    <row r="39" spans="1:1" x14ac:dyDescent="0.35">
      <c r="A39" s="8"/>
    </row>
    <row r="40" spans="1:1" x14ac:dyDescent="0.35">
      <c r="A40" s="8" t="s">
        <v>53</v>
      </c>
    </row>
    <row r="41" spans="1:1" x14ac:dyDescent="0.35">
      <c r="A41" s="8" t="s">
        <v>54</v>
      </c>
    </row>
    <row r="42" spans="1:1" x14ac:dyDescent="0.35">
      <c r="A42" s="8"/>
    </row>
    <row r="43" spans="1:1" x14ac:dyDescent="0.35">
      <c r="A43" s="8" t="s">
        <v>55</v>
      </c>
    </row>
    <row r="44" spans="1:1" x14ac:dyDescent="0.35">
      <c r="A44" s="8" t="s">
        <v>56</v>
      </c>
    </row>
    <row r="45" spans="1:1" x14ac:dyDescent="0.35">
      <c r="A45" s="8"/>
    </row>
    <row r="46" spans="1:1" x14ac:dyDescent="0.35">
      <c r="A46" s="8" t="s">
        <v>57</v>
      </c>
    </row>
    <row r="47" spans="1:1" x14ac:dyDescent="0.35">
      <c r="A47" s="8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503C-491F-4061-A2BB-0C4B5C9632A2}">
  <dimension ref="A1:C82"/>
  <sheetViews>
    <sheetView showGridLines="0" workbookViewId="0"/>
  </sheetViews>
  <sheetFormatPr defaultRowHeight="14.5" x14ac:dyDescent="0.35"/>
  <cols>
    <col min="1" max="1" width="17.6328125" bestFit="1" customWidth="1"/>
    <col min="2" max="2" width="18.453125" bestFit="1" customWidth="1"/>
    <col min="3" max="3" width="20" bestFit="1" customWidth="1"/>
  </cols>
  <sheetData>
    <row r="1" spans="1:3" s="1" customFormat="1" x14ac:dyDescent="0.35">
      <c r="A1" s="1" t="s">
        <v>65</v>
      </c>
    </row>
    <row r="3" spans="1:3" x14ac:dyDescent="0.35">
      <c r="A3" t="s">
        <v>1</v>
      </c>
    </row>
    <row r="5" spans="1:3" ht="17.5" x14ac:dyDescent="0.35">
      <c r="A5" s="6" t="s">
        <v>66</v>
      </c>
      <c r="B5" s="7"/>
      <c r="C5" s="7"/>
    </row>
    <row r="6" spans="1:3" x14ac:dyDescent="0.35">
      <c r="A6" s="7"/>
      <c r="B6" s="7"/>
      <c r="C6" s="7"/>
    </row>
    <row r="7" spans="1:3" x14ac:dyDescent="0.35">
      <c r="A7" s="7" t="s">
        <v>93</v>
      </c>
      <c r="B7" s="7"/>
      <c r="C7" s="7"/>
    </row>
    <row r="8" spans="1:3" x14ac:dyDescent="0.35">
      <c r="A8" s="7"/>
      <c r="B8" s="7"/>
      <c r="C8" s="7"/>
    </row>
    <row r="9" spans="1:3" ht="23.5" x14ac:dyDescent="0.35">
      <c r="A9" s="16" t="s">
        <v>112</v>
      </c>
      <c r="B9" s="7"/>
      <c r="C9" s="7"/>
    </row>
    <row r="10" spans="1:3" x14ac:dyDescent="0.35">
      <c r="A10" s="7"/>
      <c r="B10" s="7"/>
      <c r="C10" s="7"/>
    </row>
    <row r="11" spans="1:3" x14ac:dyDescent="0.35">
      <c r="A11" s="3" t="s">
        <v>67</v>
      </c>
      <c r="B11" s="7"/>
      <c r="C11" s="7"/>
    </row>
    <row r="12" spans="1:3" x14ac:dyDescent="0.35">
      <c r="A12" s="8"/>
      <c r="B12" s="7"/>
      <c r="C12" s="7"/>
    </row>
    <row r="13" spans="1:3" x14ac:dyDescent="0.35">
      <c r="A13" s="8" t="s">
        <v>94</v>
      </c>
      <c r="B13" s="7"/>
      <c r="C13" s="7"/>
    </row>
    <row r="14" spans="1:3" x14ac:dyDescent="0.35">
      <c r="A14" s="7"/>
      <c r="B14" s="7"/>
      <c r="C14" s="7"/>
    </row>
    <row r="15" spans="1:3" x14ac:dyDescent="0.35">
      <c r="A15" s="3" t="s">
        <v>68</v>
      </c>
      <c r="B15" s="7"/>
      <c r="C15" s="7"/>
    </row>
    <row r="16" spans="1:3" x14ac:dyDescent="0.35">
      <c r="A16" s="8"/>
      <c r="B16" s="7"/>
      <c r="C16" s="7"/>
    </row>
    <row r="17" spans="1:3" x14ac:dyDescent="0.35">
      <c r="A17" s="8" t="s">
        <v>95</v>
      </c>
      <c r="B17" s="7"/>
      <c r="C17" s="7"/>
    </row>
    <row r="18" spans="1:3" x14ac:dyDescent="0.35">
      <c r="A18" s="8"/>
      <c r="B18" s="7"/>
      <c r="C18" s="7"/>
    </row>
    <row r="19" spans="1:3" x14ac:dyDescent="0.35">
      <c r="A19" s="8" t="s">
        <v>96</v>
      </c>
      <c r="B19" s="7"/>
      <c r="C19" s="7"/>
    </row>
    <row r="20" spans="1:3" x14ac:dyDescent="0.35">
      <c r="A20" s="8"/>
      <c r="B20" s="7"/>
      <c r="C20" s="7"/>
    </row>
    <row r="21" spans="1:3" x14ac:dyDescent="0.35">
      <c r="A21" s="8" t="s">
        <v>97</v>
      </c>
      <c r="B21" s="7"/>
      <c r="C21" s="7"/>
    </row>
    <row r="22" spans="1:3" x14ac:dyDescent="0.35">
      <c r="A22" s="8"/>
      <c r="B22" s="7"/>
      <c r="C22" s="7"/>
    </row>
    <row r="23" spans="1:3" x14ac:dyDescent="0.35">
      <c r="A23" s="8" t="s">
        <v>98</v>
      </c>
      <c r="B23" s="7"/>
      <c r="C23" s="7"/>
    </row>
    <row r="24" spans="1:3" x14ac:dyDescent="0.35">
      <c r="A24" s="7"/>
      <c r="B24" s="7"/>
      <c r="C24" s="7"/>
    </row>
    <row r="25" spans="1:3" x14ac:dyDescent="0.35">
      <c r="A25" s="3" t="s">
        <v>8</v>
      </c>
      <c r="B25" s="7"/>
      <c r="C25" s="7"/>
    </row>
    <row r="26" spans="1:3" x14ac:dyDescent="0.35">
      <c r="A26" s="8"/>
      <c r="B26" s="7"/>
      <c r="C26" s="7"/>
    </row>
    <row r="27" spans="1:3" x14ac:dyDescent="0.35">
      <c r="A27" s="8" t="s">
        <v>99</v>
      </c>
      <c r="B27" s="7"/>
      <c r="C27" s="7"/>
    </row>
    <row r="28" spans="1:3" x14ac:dyDescent="0.35">
      <c r="A28" s="7"/>
      <c r="B28" s="7"/>
      <c r="C28" s="7"/>
    </row>
    <row r="29" spans="1:3" x14ac:dyDescent="0.35">
      <c r="A29" s="7" t="s">
        <v>100</v>
      </c>
      <c r="B29" s="7"/>
      <c r="C29" s="7"/>
    </row>
    <row r="30" spans="1:3" x14ac:dyDescent="0.35">
      <c r="A30" s="7" t="s">
        <v>69</v>
      </c>
      <c r="B30" s="7"/>
      <c r="C30" s="7"/>
    </row>
    <row r="31" spans="1:3" x14ac:dyDescent="0.35">
      <c r="A31" s="7"/>
      <c r="B31" s="7"/>
      <c r="C31" s="7"/>
    </row>
    <row r="32" spans="1:3" x14ac:dyDescent="0.35">
      <c r="A32" s="7"/>
      <c r="B32" s="7"/>
      <c r="C32" s="7"/>
    </row>
    <row r="33" spans="1:3" x14ac:dyDescent="0.35">
      <c r="A33" s="7"/>
      <c r="B33" s="7"/>
      <c r="C33" s="7"/>
    </row>
    <row r="34" spans="1:3" ht="23.5" x14ac:dyDescent="0.35">
      <c r="A34" s="16" t="s">
        <v>113</v>
      </c>
      <c r="B34" s="7"/>
      <c r="C34" s="7"/>
    </row>
    <row r="35" spans="1:3" x14ac:dyDescent="0.35">
      <c r="A35" s="7"/>
      <c r="B35" s="7"/>
      <c r="C35" s="7"/>
    </row>
    <row r="36" spans="1:3" x14ac:dyDescent="0.35">
      <c r="A36" s="7" t="s">
        <v>67</v>
      </c>
      <c r="B36" s="7"/>
      <c r="C36" s="7"/>
    </row>
    <row r="37" spans="1:3" x14ac:dyDescent="0.35">
      <c r="A37" s="8"/>
      <c r="B37" s="7"/>
      <c r="C37" s="7"/>
    </row>
    <row r="38" spans="1:3" x14ac:dyDescent="0.35">
      <c r="A38" s="8" t="s">
        <v>101</v>
      </c>
      <c r="B38" s="7"/>
      <c r="C38" s="7"/>
    </row>
    <row r="39" spans="1:3" x14ac:dyDescent="0.35">
      <c r="A39" s="7"/>
      <c r="B39" s="7"/>
      <c r="C39" s="7"/>
    </row>
    <row r="40" spans="1:3" x14ac:dyDescent="0.35">
      <c r="A40" s="7" t="s">
        <v>68</v>
      </c>
      <c r="B40" s="7"/>
      <c r="C40" s="7"/>
    </row>
    <row r="41" spans="1:3" x14ac:dyDescent="0.35">
      <c r="A41" s="8"/>
      <c r="B41" s="7"/>
      <c r="C41" s="7"/>
    </row>
    <row r="42" spans="1:3" x14ac:dyDescent="0.35">
      <c r="A42" s="8" t="s">
        <v>102</v>
      </c>
      <c r="B42" s="7"/>
      <c r="C42" s="7"/>
    </row>
    <row r="43" spans="1:3" x14ac:dyDescent="0.35">
      <c r="A43" s="8"/>
      <c r="B43" s="7"/>
      <c r="C43" s="7"/>
    </row>
    <row r="44" spans="1:3" x14ac:dyDescent="0.35">
      <c r="A44" s="8" t="s">
        <v>103</v>
      </c>
      <c r="B44" s="7"/>
      <c r="C44" s="7"/>
    </row>
    <row r="45" spans="1:3" x14ac:dyDescent="0.35">
      <c r="A45" s="8"/>
      <c r="B45" s="7"/>
      <c r="C45" s="7"/>
    </row>
    <row r="46" spans="1:3" x14ac:dyDescent="0.35">
      <c r="A46" s="8" t="s">
        <v>104</v>
      </c>
      <c r="B46" s="7"/>
      <c r="C46" s="7"/>
    </row>
    <row r="47" spans="1:3" x14ac:dyDescent="0.35">
      <c r="A47" s="8"/>
      <c r="B47" s="7"/>
      <c r="C47" s="7"/>
    </row>
    <row r="48" spans="1:3" x14ac:dyDescent="0.35">
      <c r="A48" s="8" t="s">
        <v>105</v>
      </c>
      <c r="B48" s="7"/>
      <c r="C48" s="7"/>
    </row>
    <row r="49" spans="1:3" x14ac:dyDescent="0.35">
      <c r="A49" s="7"/>
      <c r="B49" s="7"/>
      <c r="C49" s="7"/>
    </row>
    <row r="50" spans="1:3" x14ac:dyDescent="0.35">
      <c r="A50" s="7" t="s">
        <v>8</v>
      </c>
      <c r="B50" s="7"/>
      <c r="C50" s="7"/>
    </row>
    <row r="51" spans="1:3" x14ac:dyDescent="0.35">
      <c r="A51" s="8"/>
      <c r="B51" s="7"/>
      <c r="C51" s="7"/>
    </row>
    <row r="52" spans="1:3" x14ac:dyDescent="0.35">
      <c r="A52" s="8" t="s">
        <v>99</v>
      </c>
      <c r="B52" s="7"/>
      <c r="C52" s="7"/>
    </row>
    <row r="53" spans="1:3" x14ac:dyDescent="0.35">
      <c r="A53" s="7"/>
      <c r="B53" s="7"/>
      <c r="C53" s="7"/>
    </row>
    <row r="54" spans="1:3" x14ac:dyDescent="0.35">
      <c r="A54" s="7" t="s">
        <v>100</v>
      </c>
      <c r="B54" s="7"/>
      <c r="C54" s="7"/>
    </row>
    <row r="55" spans="1:3" x14ac:dyDescent="0.35">
      <c r="A55" s="7" t="s">
        <v>70</v>
      </c>
      <c r="B55" s="7"/>
      <c r="C55" s="7"/>
    </row>
    <row r="56" spans="1:3" x14ac:dyDescent="0.35">
      <c r="A56" s="7"/>
      <c r="B56" s="7"/>
      <c r="C56" s="7"/>
    </row>
    <row r="57" spans="1:3" x14ac:dyDescent="0.35">
      <c r="A57" s="7"/>
      <c r="B57" s="7"/>
      <c r="C57" s="7"/>
    </row>
    <row r="58" spans="1:3" x14ac:dyDescent="0.35">
      <c r="A58" s="7"/>
      <c r="B58" s="7"/>
      <c r="C58" s="7"/>
    </row>
    <row r="59" spans="1:3" ht="23.5" x14ac:dyDescent="0.35">
      <c r="A59" s="16" t="s">
        <v>71</v>
      </c>
      <c r="B59" s="7"/>
      <c r="C59" s="7"/>
    </row>
    <row r="60" spans="1:3" x14ac:dyDescent="0.35">
      <c r="A60" s="7"/>
      <c r="B60" s="7"/>
      <c r="C60" s="7"/>
    </row>
    <row r="61" spans="1:3" x14ac:dyDescent="0.35">
      <c r="A61" s="17" t="s">
        <v>3</v>
      </c>
      <c r="B61" s="17" t="s">
        <v>72</v>
      </c>
      <c r="C61" s="17" t="s">
        <v>73</v>
      </c>
    </row>
    <row r="62" spans="1:3" x14ac:dyDescent="0.35">
      <c r="A62" s="17" t="s">
        <v>74</v>
      </c>
      <c r="B62" s="17" t="s">
        <v>75</v>
      </c>
      <c r="C62" s="17" t="s">
        <v>76</v>
      </c>
    </row>
    <row r="63" spans="1:3" x14ac:dyDescent="0.35">
      <c r="A63" s="17" t="s">
        <v>77</v>
      </c>
      <c r="B63" s="17" t="s">
        <v>78</v>
      </c>
      <c r="C63" s="17" t="s">
        <v>79</v>
      </c>
    </row>
    <row r="64" spans="1:3" x14ac:dyDescent="0.35">
      <c r="A64" s="17" t="s">
        <v>80</v>
      </c>
      <c r="B64" s="17" t="s">
        <v>81</v>
      </c>
      <c r="C64" s="17" t="s">
        <v>82</v>
      </c>
    </row>
    <row r="65" spans="1:3" x14ac:dyDescent="0.35">
      <c r="A65" s="17" t="s">
        <v>83</v>
      </c>
      <c r="B65" s="17" t="s">
        <v>84</v>
      </c>
      <c r="C65" s="17" t="s">
        <v>85</v>
      </c>
    </row>
    <row r="66" spans="1:3" x14ac:dyDescent="0.35">
      <c r="A66" s="17" t="s">
        <v>86</v>
      </c>
      <c r="B66" s="17" t="s">
        <v>87</v>
      </c>
      <c r="C66" s="17" t="s">
        <v>88</v>
      </c>
    </row>
    <row r="67" spans="1:3" x14ac:dyDescent="0.35">
      <c r="A67" s="17" t="s">
        <v>89</v>
      </c>
      <c r="B67" s="17" t="s">
        <v>90</v>
      </c>
      <c r="C67" s="17" t="s">
        <v>91</v>
      </c>
    </row>
    <row r="68" spans="1:3" x14ac:dyDescent="0.35">
      <c r="A68" s="7"/>
      <c r="B68" s="7"/>
      <c r="C68" s="7"/>
    </row>
    <row r="69" spans="1:3" x14ac:dyDescent="0.35">
      <c r="A69" s="7"/>
      <c r="B69" s="7"/>
      <c r="C69" s="7"/>
    </row>
    <row r="70" spans="1:3" ht="23.5" x14ac:dyDescent="0.35">
      <c r="A70" s="16" t="s">
        <v>92</v>
      </c>
      <c r="B70" s="7"/>
      <c r="C70" s="7"/>
    </row>
    <row r="71" spans="1:3" x14ac:dyDescent="0.35">
      <c r="A71" s="7"/>
      <c r="B71" s="7"/>
      <c r="C71" s="7"/>
    </row>
    <row r="72" spans="1:3" x14ac:dyDescent="0.35">
      <c r="A72" s="7" t="s">
        <v>106</v>
      </c>
      <c r="B72" s="7"/>
      <c r="C72" s="7"/>
    </row>
    <row r="73" spans="1:3" x14ac:dyDescent="0.35">
      <c r="A73" s="8"/>
      <c r="B73" s="7"/>
      <c r="C73" s="7"/>
    </row>
    <row r="74" spans="1:3" x14ac:dyDescent="0.35">
      <c r="A74" s="8" t="s">
        <v>107</v>
      </c>
      <c r="B74" s="7"/>
      <c r="C74" s="7"/>
    </row>
    <row r="75" spans="1:3" x14ac:dyDescent="0.35">
      <c r="A75" s="8"/>
      <c r="B75" s="7"/>
      <c r="C75" s="7"/>
    </row>
    <row r="76" spans="1:3" x14ac:dyDescent="0.35">
      <c r="A76" s="8" t="s">
        <v>108</v>
      </c>
      <c r="B76" s="7"/>
      <c r="C76" s="7"/>
    </row>
    <row r="77" spans="1:3" x14ac:dyDescent="0.35">
      <c r="A77" s="8"/>
      <c r="B77" s="7"/>
      <c r="C77" s="7"/>
    </row>
    <row r="78" spans="1:3" x14ac:dyDescent="0.35">
      <c r="A78" s="8" t="s">
        <v>109</v>
      </c>
      <c r="B78" s="7"/>
      <c r="C78" s="7"/>
    </row>
    <row r="79" spans="1:3" x14ac:dyDescent="0.35">
      <c r="A79" s="8"/>
      <c r="B79" s="7"/>
      <c r="C79" s="7"/>
    </row>
    <row r="80" spans="1:3" x14ac:dyDescent="0.35">
      <c r="A80" s="8" t="s">
        <v>110</v>
      </c>
      <c r="B80" s="7"/>
      <c r="C80" s="7"/>
    </row>
    <row r="81" spans="1:3" x14ac:dyDescent="0.35">
      <c r="A81" s="8"/>
      <c r="B81" s="7"/>
      <c r="C81" s="7"/>
    </row>
    <row r="82" spans="1:3" x14ac:dyDescent="0.35">
      <c r="A82" s="8" t="s">
        <v>111</v>
      </c>
      <c r="B82" s="7"/>
      <c r="C8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3A7CE-CD72-48A0-89CE-7BA3ED8CC172}">
  <dimension ref="A1:A36"/>
  <sheetViews>
    <sheetView showGridLines="0" workbookViewId="0"/>
  </sheetViews>
  <sheetFormatPr defaultRowHeight="14.5" x14ac:dyDescent="0.35"/>
  <sheetData>
    <row r="1" spans="1:1" s="1" customFormat="1" x14ac:dyDescent="0.35">
      <c r="A1" s="1" t="s">
        <v>114</v>
      </c>
    </row>
    <row r="3" spans="1:1" x14ac:dyDescent="0.35">
      <c r="A3" t="s">
        <v>1</v>
      </c>
    </row>
    <row r="4" spans="1:1" x14ac:dyDescent="0.35">
      <c r="A4" s="11"/>
    </row>
    <row r="5" spans="1:1" ht="17.5" x14ac:dyDescent="0.35">
      <c r="A5" s="2" t="s">
        <v>115</v>
      </c>
    </row>
    <row r="7" spans="1:1" x14ac:dyDescent="0.35">
      <c r="A7" t="s">
        <v>116</v>
      </c>
    </row>
    <row r="8" spans="1:1" x14ac:dyDescent="0.35">
      <c r="A8" s="4"/>
    </row>
    <row r="9" spans="1:1" x14ac:dyDescent="0.35">
      <c r="A9" s="4" t="s">
        <v>117</v>
      </c>
    </row>
    <row r="10" spans="1:1" x14ac:dyDescent="0.35">
      <c r="A10" s="4" t="s">
        <v>118</v>
      </c>
    </row>
    <row r="11" spans="1:1" x14ac:dyDescent="0.35">
      <c r="A11" s="4" t="s">
        <v>119</v>
      </c>
    </row>
    <row r="15" spans="1:1" ht="17.5" x14ac:dyDescent="0.35">
      <c r="A15" s="2" t="s">
        <v>120</v>
      </c>
    </row>
    <row r="17" spans="1:1" x14ac:dyDescent="0.35">
      <c r="A17" s="3" t="s">
        <v>130</v>
      </c>
    </row>
    <row r="20" spans="1:1" ht="17.5" x14ac:dyDescent="0.35">
      <c r="A20" s="2" t="s">
        <v>121</v>
      </c>
    </row>
    <row r="21" spans="1:1" x14ac:dyDescent="0.35">
      <c r="A21" s="4"/>
    </row>
    <row r="22" spans="1:1" x14ac:dyDescent="0.35">
      <c r="A22" s="5" t="s">
        <v>122</v>
      </c>
    </row>
    <row r="23" spans="1:1" x14ac:dyDescent="0.35">
      <c r="A23" s="13"/>
    </row>
    <row r="24" spans="1:1" x14ac:dyDescent="0.35">
      <c r="A24" s="13" t="s">
        <v>123</v>
      </c>
    </row>
    <row r="25" spans="1:1" x14ac:dyDescent="0.35">
      <c r="A25" s="4"/>
    </row>
    <row r="26" spans="1:1" x14ac:dyDescent="0.35">
      <c r="A26" s="5" t="s">
        <v>124</v>
      </c>
    </row>
    <row r="27" spans="1:1" x14ac:dyDescent="0.35">
      <c r="A27" s="13"/>
    </row>
    <row r="28" spans="1:1" x14ac:dyDescent="0.35">
      <c r="A28" s="13" t="s">
        <v>125</v>
      </c>
    </row>
    <row r="29" spans="1:1" x14ac:dyDescent="0.35">
      <c r="A29" s="4"/>
    </row>
    <row r="30" spans="1:1" x14ac:dyDescent="0.35">
      <c r="A30" s="5" t="s">
        <v>126</v>
      </c>
    </row>
    <row r="31" spans="1:1" x14ac:dyDescent="0.35">
      <c r="A31" s="4"/>
    </row>
    <row r="32" spans="1:1" x14ac:dyDescent="0.35">
      <c r="A32" s="13" t="s">
        <v>127</v>
      </c>
    </row>
    <row r="33" spans="1:1" x14ac:dyDescent="0.35">
      <c r="A33" s="4"/>
    </row>
    <row r="34" spans="1:1" x14ac:dyDescent="0.35">
      <c r="A34" s="5" t="s">
        <v>128</v>
      </c>
    </row>
    <row r="35" spans="1:1" x14ac:dyDescent="0.35">
      <c r="A35" s="13"/>
    </row>
    <row r="36" spans="1:1" x14ac:dyDescent="0.35">
      <c r="A36" s="13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F295-ABA2-4BA6-A0B0-AC993C749574}">
  <dimension ref="A1:E8"/>
  <sheetViews>
    <sheetView showGridLines="0" workbookViewId="0">
      <selection activeCell="F15" sqref="F15"/>
    </sheetView>
  </sheetViews>
  <sheetFormatPr defaultRowHeight="14.5" x14ac:dyDescent="0.35"/>
  <sheetData>
    <row r="1" spans="1:5" s="1" customFormat="1" x14ac:dyDescent="0.35">
      <c r="A1" s="1" t="s">
        <v>131</v>
      </c>
    </row>
    <row r="3" spans="1:5" x14ac:dyDescent="0.35">
      <c r="A3" t="s">
        <v>1</v>
      </c>
    </row>
    <row r="5" spans="1:5" x14ac:dyDescent="0.35">
      <c r="A5" s="18" t="s">
        <v>132</v>
      </c>
      <c r="B5" s="18">
        <v>2</v>
      </c>
      <c r="C5" s="18">
        <v>4</v>
      </c>
      <c r="D5" s="18">
        <v>6</v>
      </c>
      <c r="E5" s="18">
        <v>8</v>
      </c>
    </row>
    <row r="6" spans="1:5" x14ac:dyDescent="0.35">
      <c r="A6" s="18" t="s">
        <v>133</v>
      </c>
      <c r="B6" s="18">
        <v>3</v>
      </c>
      <c r="C6" s="18">
        <v>7</v>
      </c>
      <c r="D6" s="18">
        <v>5</v>
      </c>
      <c r="E6" s="18">
        <v>10</v>
      </c>
    </row>
    <row r="8" spans="1:5" x14ac:dyDescent="0.35">
      <c r="A8" s="19">
        <f>_xlfn.COVARIANCE.P(B5:E5,B6:E6)</f>
        <v>4.75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460F-DD87-4F1A-BB72-F7CC8752B8E9}">
  <dimension ref="A1:G8"/>
  <sheetViews>
    <sheetView showGridLines="0" workbookViewId="0">
      <selection activeCell="B8" sqref="B8"/>
    </sheetView>
  </sheetViews>
  <sheetFormatPr defaultRowHeight="14.5" x14ac:dyDescent="0.35"/>
  <sheetData>
    <row r="1" spans="1:7" x14ac:dyDescent="0.35">
      <c r="A1" t="s">
        <v>134</v>
      </c>
    </row>
    <row r="3" spans="1:7" x14ac:dyDescent="0.35">
      <c r="A3" t="s">
        <v>1</v>
      </c>
    </row>
    <row r="5" spans="1:7" x14ac:dyDescent="0.35">
      <c r="A5" s="20"/>
      <c r="B5" s="18" t="s">
        <v>135</v>
      </c>
      <c r="C5" s="18">
        <v>10</v>
      </c>
      <c r="D5" s="18">
        <v>20</v>
      </c>
      <c r="E5" s="18">
        <v>30</v>
      </c>
      <c r="F5" s="18">
        <v>40</v>
      </c>
      <c r="G5" s="18">
        <v>50</v>
      </c>
    </row>
    <row r="6" spans="1:7" x14ac:dyDescent="0.35">
      <c r="B6" s="18" t="s">
        <v>136</v>
      </c>
      <c r="C6" s="18">
        <v>8</v>
      </c>
      <c r="D6" s="18">
        <v>14</v>
      </c>
      <c r="E6" s="18">
        <v>18</v>
      </c>
      <c r="F6" s="18">
        <v>24</v>
      </c>
      <c r="G6" s="18">
        <v>28</v>
      </c>
    </row>
    <row r="8" spans="1:7" x14ac:dyDescent="0.35">
      <c r="B8" s="19">
        <f>CORREL(C5:G5,C6:G6)</f>
        <v>0.99760860558452769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04DC-2066-4370-BF12-54AB376E98A9}">
  <dimension ref="A1:F8"/>
  <sheetViews>
    <sheetView showGridLines="0" workbookViewId="0">
      <selection activeCell="A8" sqref="A8"/>
    </sheetView>
  </sheetViews>
  <sheetFormatPr defaultRowHeight="14.5" x14ac:dyDescent="0.35"/>
  <sheetData>
    <row r="1" spans="1:6" s="1" customFormat="1" x14ac:dyDescent="0.35">
      <c r="A1" s="1" t="s">
        <v>137</v>
      </c>
    </row>
    <row r="3" spans="1:6" x14ac:dyDescent="0.35">
      <c r="A3" t="s">
        <v>1</v>
      </c>
    </row>
    <row r="5" spans="1:6" x14ac:dyDescent="0.35">
      <c r="A5" s="18" t="s">
        <v>138</v>
      </c>
      <c r="B5" s="18">
        <v>150</v>
      </c>
      <c r="C5" s="18">
        <v>160</v>
      </c>
      <c r="D5" s="18">
        <v>165</v>
      </c>
      <c r="E5" s="18">
        <v>170</v>
      </c>
      <c r="F5" s="18">
        <v>180</v>
      </c>
    </row>
    <row r="6" spans="1:6" x14ac:dyDescent="0.35">
      <c r="A6" s="18" t="s">
        <v>139</v>
      </c>
      <c r="B6" s="18">
        <v>50</v>
      </c>
      <c r="C6" s="18">
        <v>55</v>
      </c>
      <c r="D6" s="18">
        <v>58</v>
      </c>
      <c r="E6" s="18">
        <v>62</v>
      </c>
      <c r="F6" s="18">
        <v>70</v>
      </c>
    </row>
    <row r="8" spans="1:6" x14ac:dyDescent="0.35">
      <c r="A8" s="19">
        <f>CORREL(B5:F5,B6:F6)</f>
        <v>0.99218437024647965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03AA-1871-4202-86C6-52C4FE4C0054}">
  <dimension ref="A1:F18"/>
  <sheetViews>
    <sheetView showGridLines="0" workbookViewId="0"/>
  </sheetViews>
  <sheetFormatPr defaultRowHeight="14.5" x14ac:dyDescent="0.35"/>
  <sheetData>
    <row r="1" spans="1:6" s="1" customFormat="1" x14ac:dyDescent="0.35">
      <c r="A1" s="1" t="s">
        <v>140</v>
      </c>
    </row>
    <row r="3" spans="1:6" x14ac:dyDescent="0.35">
      <c r="A3" t="s">
        <v>1</v>
      </c>
    </row>
    <row r="5" spans="1:6" x14ac:dyDescent="0.35">
      <c r="A5" s="18" t="s">
        <v>132</v>
      </c>
      <c r="B5" s="18">
        <v>1</v>
      </c>
      <c r="C5" s="18">
        <v>2</v>
      </c>
      <c r="D5" s="18">
        <v>3</v>
      </c>
      <c r="E5" s="18">
        <v>4</v>
      </c>
      <c r="F5" s="18">
        <v>5</v>
      </c>
    </row>
    <row r="6" spans="1:6" x14ac:dyDescent="0.35">
      <c r="A6" s="18" t="s">
        <v>133</v>
      </c>
      <c r="B6" s="18">
        <v>15</v>
      </c>
      <c r="C6" s="18">
        <v>12</v>
      </c>
      <c r="D6" s="18">
        <v>9</v>
      </c>
      <c r="E6" s="18">
        <v>7</v>
      </c>
      <c r="F6" s="18">
        <v>3</v>
      </c>
    </row>
    <row r="8" spans="1:6" ht="17.5" x14ac:dyDescent="0.35">
      <c r="A8" s="2" t="s">
        <v>141</v>
      </c>
    </row>
    <row r="9" spans="1:6" x14ac:dyDescent="0.35">
      <c r="A9" s="4"/>
    </row>
    <row r="10" spans="1:6" x14ac:dyDescent="0.35">
      <c r="A10" s="4" t="s">
        <v>142</v>
      </c>
    </row>
    <row r="11" spans="1:6" x14ac:dyDescent="0.35">
      <c r="A11" s="4"/>
    </row>
    <row r="12" spans="1:6" x14ac:dyDescent="0.35">
      <c r="A12" s="5" t="s">
        <v>143</v>
      </c>
    </row>
    <row r="14" spans="1:6" x14ac:dyDescent="0.35">
      <c r="A14" t="s">
        <v>144</v>
      </c>
    </row>
    <row r="16" spans="1:6" ht="17.5" x14ac:dyDescent="0.35">
      <c r="A16" s="2" t="s">
        <v>146</v>
      </c>
    </row>
    <row r="17" spans="1:1" x14ac:dyDescent="0.35">
      <c r="A17" s="4"/>
    </row>
    <row r="18" spans="1:1" x14ac:dyDescent="0.35">
      <c r="A18" s="4" t="s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6DA7-57B8-46D4-9FD8-98F803289168}">
  <dimension ref="A1:D23"/>
  <sheetViews>
    <sheetView showGridLines="0" workbookViewId="0"/>
  </sheetViews>
  <sheetFormatPr defaultRowHeight="14.5" x14ac:dyDescent="0.35"/>
  <cols>
    <col min="1" max="1" width="11" bestFit="1" customWidth="1"/>
  </cols>
  <sheetData>
    <row r="1" spans="1:4" s="1" customFormat="1" x14ac:dyDescent="0.35">
      <c r="A1" s="1" t="s">
        <v>147</v>
      </c>
    </row>
    <row r="3" spans="1:4" x14ac:dyDescent="0.35">
      <c r="A3" t="s">
        <v>1</v>
      </c>
    </row>
    <row r="4" spans="1:4" x14ac:dyDescent="0.35">
      <c r="B4" s="21" t="s">
        <v>148</v>
      </c>
      <c r="C4" s="21" t="s">
        <v>149</v>
      </c>
      <c r="D4" s="21" t="s">
        <v>150</v>
      </c>
    </row>
    <row r="5" spans="1:4" x14ac:dyDescent="0.35">
      <c r="B5" s="21">
        <v>1</v>
      </c>
      <c r="C5" s="21">
        <v>8</v>
      </c>
      <c r="D5" s="21">
        <v>6</v>
      </c>
    </row>
    <row r="6" spans="1:4" x14ac:dyDescent="0.35">
      <c r="B6" s="21">
        <v>2</v>
      </c>
      <c r="C6" s="21">
        <v>10</v>
      </c>
      <c r="D6" s="21">
        <v>9</v>
      </c>
    </row>
    <row r="7" spans="1:4" x14ac:dyDescent="0.35">
      <c r="B7" s="21">
        <v>3</v>
      </c>
      <c r="C7" s="21">
        <v>12</v>
      </c>
      <c r="D7" s="21">
        <v>11</v>
      </c>
    </row>
    <row r="8" spans="1:4" x14ac:dyDescent="0.35">
      <c r="B8" s="21">
        <v>4</v>
      </c>
      <c r="C8" s="21">
        <v>9</v>
      </c>
      <c r="D8" s="21">
        <v>8</v>
      </c>
    </row>
    <row r="9" spans="1:4" x14ac:dyDescent="0.35">
      <c r="B9" s="21">
        <v>5</v>
      </c>
      <c r="C9" s="21">
        <v>11</v>
      </c>
      <c r="D9" s="21">
        <v>10</v>
      </c>
    </row>
    <row r="12" spans="1:4" x14ac:dyDescent="0.35">
      <c r="A12" t="s">
        <v>151</v>
      </c>
      <c r="B12" s="22">
        <f>_xlfn.COVARIANCE.S(C5:C9,D5:D9)</f>
        <v>3</v>
      </c>
    </row>
    <row r="14" spans="1:4" x14ac:dyDescent="0.35">
      <c r="A14" t="s">
        <v>4</v>
      </c>
      <c r="B14" s="19">
        <f>CORREL(C5:C9,D5:D9)</f>
        <v>0.98639392383214364</v>
      </c>
    </row>
    <row r="17" spans="1:1" ht="23.5" x14ac:dyDescent="0.35">
      <c r="A17" s="15" t="s">
        <v>11</v>
      </c>
    </row>
    <row r="18" spans="1:1" x14ac:dyDescent="0.35">
      <c r="A18" s="4"/>
    </row>
    <row r="19" spans="1:1" x14ac:dyDescent="0.35">
      <c r="A19" s="5" t="s">
        <v>154</v>
      </c>
    </row>
    <row r="20" spans="1:1" x14ac:dyDescent="0.35">
      <c r="A20" s="4"/>
    </row>
    <row r="21" spans="1:1" x14ac:dyDescent="0.35">
      <c r="A21" s="4" t="s">
        <v>152</v>
      </c>
    </row>
    <row r="22" spans="1:1" x14ac:dyDescent="0.35">
      <c r="A22" s="4"/>
    </row>
    <row r="23" spans="1:1" x14ac:dyDescent="0.35">
      <c r="A23" s="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2026-01-15T17:16:56Z</dcterms:created>
  <dcterms:modified xsi:type="dcterms:W3CDTF">2026-01-15T18:12:03Z</dcterms:modified>
</cp:coreProperties>
</file>