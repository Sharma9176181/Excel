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.sharma3\Downloads\"/>
    </mc:Choice>
  </mc:AlternateContent>
  <xr:revisionPtr revIDLastSave="0" documentId="13_ncr:1_{5649780B-FD36-4B61-AA40-0016F600B73C}" xr6:coauthVersionLast="47" xr6:coauthVersionMax="47" xr10:uidLastSave="{00000000-0000-0000-0000-000000000000}"/>
  <bookViews>
    <workbookView xWindow="-120" yWindow="-120" windowWidth="20730" windowHeight="11040" xr2:uid="{30CCE9C2-BA68-4D0B-BAA4-387762723232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8" l="1"/>
  <c r="B33" i="8"/>
  <c r="F26" i="8"/>
  <c r="F27" i="8"/>
  <c r="F28" i="8"/>
  <c r="F25" i="8"/>
  <c r="F29" i="8" s="1"/>
  <c r="C19" i="8"/>
  <c r="C18" i="8"/>
  <c r="C17" i="8"/>
  <c r="C16" i="8"/>
  <c r="A41" i="5" l="1"/>
</calcChain>
</file>

<file path=xl/sharedStrings.xml><?xml version="1.0" encoding="utf-8"?>
<sst xmlns="http://schemas.openxmlformats.org/spreadsheetml/2006/main" count="192" uniqueCount="170">
  <si>
    <t>Question 1: What is a null hypothesis (H₀) and why is it important in hypothesis testing?</t>
  </si>
  <si>
    <t>Ans.</t>
  </si>
  <si>
    <t>What is a Null Hypothesis (H₀) and why is it important?</t>
  </si>
  <si>
    <t>Null Hypothesis (H₀):</t>
  </si>
  <si>
    <r>
      <t xml:space="preserve">The null hypothesis is a statement that </t>
    </r>
    <r>
      <rPr>
        <b/>
        <sz val="11"/>
        <color theme="1"/>
        <rFont val="Calibri"/>
        <family val="2"/>
        <scheme val="minor"/>
      </rPr>
      <t>assumes no effect, no difference, or no relationship</t>
    </r>
    <r>
      <rPr>
        <sz val="11"/>
        <color theme="1"/>
        <rFont val="Calibri"/>
        <family val="2"/>
        <scheme val="minor"/>
      </rPr>
      <t xml:space="preserve"> between variables. It represents the </t>
    </r>
    <r>
      <rPr>
        <b/>
        <sz val="11"/>
        <color theme="1"/>
        <rFont val="Calibri"/>
        <family val="2"/>
        <scheme val="minor"/>
      </rPr>
      <t>status quo</t>
    </r>
    <r>
      <rPr>
        <sz val="11"/>
        <color theme="1"/>
        <rFont val="Calibri"/>
        <family val="2"/>
        <scheme val="minor"/>
      </rPr>
      <t xml:space="preserve"> or the default assumption that any observed change is due to </t>
    </r>
    <r>
      <rPr>
        <b/>
        <sz val="11"/>
        <color theme="1"/>
        <rFont val="Calibri"/>
        <family val="2"/>
        <scheme val="minor"/>
      </rPr>
      <t>random chance</t>
    </r>
    <r>
      <rPr>
        <sz val="11"/>
        <color theme="1"/>
        <rFont val="Calibri"/>
        <family val="2"/>
        <scheme val="minor"/>
      </rPr>
      <t>.</t>
    </r>
  </si>
  <si>
    <t>Example:</t>
  </si>
  <si>
    <r>
      <t xml:space="preserve">H₀: The new packaging design has </t>
    </r>
    <r>
      <rPr>
        <b/>
        <sz val="11"/>
        <color theme="1"/>
        <rFont val="Calibri"/>
        <family val="2"/>
        <scheme val="minor"/>
      </rPr>
      <t>no impact</t>
    </r>
    <r>
      <rPr>
        <sz val="11"/>
        <color theme="1"/>
        <rFont val="Calibri"/>
        <family val="2"/>
        <scheme val="minor"/>
      </rPr>
      <t xml:space="preserve"> on sales.</t>
    </r>
  </si>
  <si>
    <r>
      <t xml:space="preserve">H₀: The average handle time before and after a process change is </t>
    </r>
    <r>
      <rPr>
        <b/>
        <sz val="11"/>
        <color theme="1"/>
        <rFont val="Calibri"/>
        <family val="2"/>
        <scheme val="minor"/>
      </rPr>
      <t>the same</t>
    </r>
    <r>
      <rPr>
        <sz val="11"/>
        <color theme="1"/>
        <rFont val="Calibri"/>
        <family val="2"/>
        <scheme val="minor"/>
      </rPr>
      <t>.</t>
    </r>
  </si>
  <si>
    <t>Why H₀ is important in hypothesis testing</t>
  </si>
  <si>
    <t>1. Provides a baseline for comparison</t>
  </si>
  <si>
    <t>All statistical tests start by assuming H₀ is true. Evidence is then tested against this assumption.</t>
  </si>
  <si>
    <t>2. Enables objective decision-making</t>
  </si>
  <si>
    <t>By calculating a p-value, we determine whether the observed data is unlikely under H₀.</t>
  </si>
  <si>
    <t>3. Controls false positives</t>
  </si>
  <si>
    <t>Using a significance level (α) limits the risk of incorrectly claiming an effect when none exists.</t>
  </si>
  <si>
    <t>4. Foundation for statistical inference</t>
  </si>
  <si>
    <r>
      <t xml:space="preserve">Decisions to </t>
    </r>
    <r>
      <rPr>
        <i/>
        <sz val="11"/>
        <color theme="1"/>
        <rFont val="Calibri"/>
        <family val="2"/>
        <scheme val="minor"/>
      </rPr>
      <t>reject</t>
    </r>
    <r>
      <rPr>
        <sz val="11"/>
        <color theme="1"/>
        <rFont val="Calibri"/>
        <family val="2"/>
        <scheme val="minor"/>
      </rPr>
      <t xml:space="preserve"> or </t>
    </r>
    <r>
      <rPr>
        <i/>
        <sz val="11"/>
        <color theme="1"/>
        <rFont val="Calibri"/>
        <family val="2"/>
        <scheme val="minor"/>
      </rPr>
      <t>fail to reject</t>
    </r>
    <r>
      <rPr>
        <sz val="11"/>
        <color theme="1"/>
        <rFont val="Calibri"/>
        <family val="2"/>
        <scheme val="minor"/>
      </rPr>
      <t xml:space="preserve"> H₀ are the core outcome of hypothesis testing.</t>
    </r>
  </si>
  <si>
    <t>Question 2: What does the significance level (α) represent in hypothesis testing?</t>
  </si>
  <si>
    <t>What does the significance level (α) represent in hypothesis testing?</t>
  </si>
  <si>
    <r>
      <t xml:space="preserve">The </t>
    </r>
    <r>
      <rPr>
        <b/>
        <sz val="11"/>
        <color theme="1"/>
        <rFont val="Calibri"/>
        <family val="2"/>
        <scheme val="minor"/>
      </rPr>
      <t>significance level (α)</t>
    </r>
    <r>
      <rPr>
        <sz val="11"/>
        <color theme="1"/>
        <rFont val="Calibri"/>
        <family val="2"/>
        <scheme val="minor"/>
      </rPr>
      <t xml:space="preserve"> represents the </t>
    </r>
    <r>
      <rPr>
        <b/>
        <sz val="11"/>
        <color theme="1"/>
        <rFont val="Calibri"/>
        <family val="2"/>
        <scheme val="minor"/>
      </rPr>
      <t>probability of making a Type I error</t>
    </r>
    <r>
      <rPr>
        <sz val="11"/>
        <color theme="1"/>
        <rFont val="Calibri"/>
        <family val="2"/>
        <scheme val="minor"/>
      </rPr>
      <t xml:space="preserve">, which means </t>
    </r>
    <r>
      <rPr>
        <b/>
        <sz val="11"/>
        <color theme="1"/>
        <rFont val="Calibri"/>
        <family val="2"/>
        <scheme val="minor"/>
      </rPr>
      <t>rejecting the null hypothesis (H₀) when it is actually true</t>
    </r>
    <r>
      <rPr>
        <sz val="11"/>
        <color theme="1"/>
        <rFont val="Calibri"/>
        <family val="2"/>
        <scheme val="minor"/>
      </rPr>
      <t>.</t>
    </r>
  </si>
  <si>
    <t>Simple explanation</t>
  </si>
  <si>
    <r>
      <t xml:space="preserve">α is the </t>
    </r>
    <r>
      <rPr>
        <b/>
        <sz val="11"/>
        <color theme="1"/>
        <rFont val="Calibri"/>
        <family val="2"/>
        <scheme val="minor"/>
      </rPr>
      <t>maximum risk you are willing to take</t>
    </r>
    <r>
      <rPr>
        <sz val="11"/>
        <color theme="1"/>
        <rFont val="Calibri"/>
        <family val="2"/>
        <scheme val="minor"/>
      </rPr>
      <t xml:space="preserve"> of concluding that an effect exists when it really does not.</t>
    </r>
  </si>
  <si>
    <r>
      <t xml:space="preserve">Common values: </t>
    </r>
    <r>
      <rPr>
        <b/>
        <sz val="11"/>
        <color theme="1"/>
        <rFont val="Calibri"/>
        <family val="2"/>
        <scheme val="minor"/>
      </rPr>
      <t>0.05, 0.01</t>
    </r>
  </si>
  <si>
    <r>
      <t xml:space="preserve">α = 0.05 → You accept a </t>
    </r>
    <r>
      <rPr>
        <b/>
        <sz val="11"/>
        <color theme="1"/>
        <rFont val="Calibri"/>
        <family val="2"/>
        <scheme val="minor"/>
      </rPr>
      <t>5% chance</t>
    </r>
    <r>
      <rPr>
        <sz val="11"/>
        <color theme="1"/>
        <rFont val="Calibri"/>
        <family val="2"/>
        <scheme val="minor"/>
      </rPr>
      <t xml:space="preserve"> of falsely rejecting H₀.</t>
    </r>
  </si>
  <si>
    <t>Question 3: Differentiate between Type I and Type II errors.</t>
  </si>
  <si>
    <t>Aspect</t>
  </si>
  <si>
    <t>Type I Error</t>
  </si>
  <si>
    <t>Type II Error</t>
  </si>
  <si>
    <t>Definition</t>
  </si>
  <si>
    <r>
      <t xml:space="preserve">Rejecting </t>
    </r>
    <r>
      <rPr>
        <b/>
        <sz val="11"/>
        <color theme="1"/>
        <rFont val="Calibri"/>
        <family val="2"/>
        <scheme val="minor"/>
      </rPr>
      <t>H₀ when it is true</t>
    </r>
  </si>
  <si>
    <r>
      <t xml:space="preserve">Failing to reject </t>
    </r>
    <r>
      <rPr>
        <b/>
        <sz val="11"/>
        <color theme="1"/>
        <rFont val="Calibri"/>
        <family val="2"/>
        <scheme val="minor"/>
      </rPr>
      <t>H₀ when it is false</t>
    </r>
  </si>
  <si>
    <t>Meaning</t>
  </si>
  <si>
    <t>False positive</t>
  </si>
  <si>
    <t>False negative</t>
  </si>
  <si>
    <t>Probability</t>
  </si>
  <si>
    <t>α (significance level)</t>
  </si>
  <si>
    <t>β</t>
  </si>
  <si>
    <t>Result</t>
  </si>
  <si>
    <t>Detects an effect that doesn’t exist</t>
  </si>
  <si>
    <t>Misses a real effect</t>
  </si>
  <si>
    <t>Risk Example</t>
  </si>
  <si>
    <t>Concluding a process improvement worked when it didn’t</t>
  </si>
  <si>
    <t>Failing to detect a real process improvement</t>
  </si>
  <si>
    <t>Question 4: Explain the difference between a one-tailed and two-tailed test. Give an example of each.</t>
  </si>
  <si>
    <t>Difference between One-Tailed and Two-Tailed Tests</t>
  </si>
  <si>
    <t>One-Tailed Test</t>
  </si>
  <si>
    <t>Two-Tailed Test</t>
  </si>
  <si>
    <t>Direction of test</t>
  </si>
  <si>
    <r>
      <t xml:space="preserve">Tests for an effect in </t>
    </r>
    <r>
      <rPr>
        <b/>
        <sz val="11"/>
        <color theme="1"/>
        <rFont val="Calibri"/>
        <family val="2"/>
        <scheme val="minor"/>
      </rPr>
      <t>one specific direction</t>
    </r>
  </si>
  <si>
    <r>
      <t xml:space="preserve">Tests for an effect in </t>
    </r>
    <r>
      <rPr>
        <b/>
        <sz val="11"/>
        <color theme="1"/>
        <rFont val="Calibri"/>
        <family val="2"/>
        <scheme val="minor"/>
      </rPr>
      <t>both directions</t>
    </r>
  </si>
  <si>
    <t>Alternative hypothesis (H₁)</t>
  </si>
  <si>
    <r>
      <t xml:space="preserve">Specifies </t>
    </r>
    <r>
      <rPr>
        <b/>
        <sz val="11"/>
        <color theme="1"/>
        <rFont val="Calibri"/>
        <family val="2"/>
        <scheme val="minor"/>
      </rPr>
      <t>greater than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less than</t>
    </r>
  </si>
  <si>
    <r>
      <t xml:space="preserve">Specifies </t>
    </r>
    <r>
      <rPr>
        <b/>
        <sz val="11"/>
        <color theme="1"/>
        <rFont val="Calibri"/>
        <family val="2"/>
        <scheme val="minor"/>
      </rPr>
      <t>not equal to</t>
    </r>
  </si>
  <si>
    <t>Rejection region</t>
  </si>
  <si>
    <r>
      <t xml:space="preserve">Entire α in </t>
    </r>
    <r>
      <rPr>
        <b/>
        <sz val="11"/>
        <color theme="1"/>
        <rFont val="Calibri"/>
        <family val="2"/>
        <scheme val="minor"/>
      </rPr>
      <t>one tail</t>
    </r>
  </si>
  <si>
    <r>
      <t xml:space="preserve">α split across </t>
    </r>
    <r>
      <rPr>
        <b/>
        <sz val="11"/>
        <color theme="1"/>
        <rFont val="Calibri"/>
        <family val="2"/>
        <scheme val="minor"/>
      </rPr>
      <t>both tails</t>
    </r>
  </si>
  <si>
    <t>Sensitivity</t>
  </si>
  <si>
    <t>More powerful for detecting effect in one direction</t>
  </si>
  <si>
    <t>More conservative</t>
  </si>
  <si>
    <t>Examples</t>
  </si>
  <si>
    <t>🔹 One-Tailed Test Example</t>
  </si>
  <si>
    <r>
      <t>Scenario:</t>
    </r>
    <r>
      <rPr>
        <sz val="11"/>
        <color theme="1"/>
        <rFont val="Calibri"/>
        <family val="2"/>
        <scheme val="minor"/>
      </rPr>
      <t xml:space="preserve"> A company believes a new training program </t>
    </r>
    <r>
      <rPr>
        <b/>
        <sz val="11"/>
        <color theme="1"/>
        <rFont val="Calibri"/>
        <family val="2"/>
        <scheme val="minor"/>
      </rPr>
      <t>reduces average handling time (AHT)</t>
    </r>
    <r>
      <rPr>
        <sz val="11"/>
        <color theme="1"/>
        <rFont val="Calibri"/>
        <family val="2"/>
        <scheme val="minor"/>
      </rPr>
      <t>.</t>
    </r>
  </si>
  <si>
    <r>
      <t xml:space="preserve">H₀: New training does </t>
    </r>
    <r>
      <rPr>
        <b/>
        <sz val="11"/>
        <color theme="1"/>
        <rFont val="Calibri"/>
        <family val="2"/>
        <scheme val="minor"/>
      </rPr>
      <t>not reduce</t>
    </r>
    <r>
      <rPr>
        <sz val="11"/>
        <color theme="1"/>
        <rFont val="Calibri"/>
        <family val="2"/>
        <scheme val="minor"/>
      </rPr>
      <t xml:space="preserve"> AHT</t>
    </r>
  </si>
  <si>
    <r>
      <t xml:space="preserve">H₁: New training </t>
    </r>
    <r>
      <rPr>
        <b/>
        <sz val="11"/>
        <color theme="1"/>
        <rFont val="Calibri"/>
        <family val="2"/>
        <scheme val="minor"/>
      </rPr>
      <t>reduces</t>
    </r>
    <r>
      <rPr>
        <sz val="11"/>
        <color theme="1"/>
        <rFont val="Calibri"/>
        <family val="2"/>
        <scheme val="minor"/>
      </rPr>
      <t xml:space="preserve"> AHT</t>
    </r>
  </si>
  <si>
    <r>
      <t xml:space="preserve">👉 Only interested in </t>
    </r>
    <r>
      <rPr>
        <b/>
        <sz val="11"/>
        <color theme="1"/>
        <rFont val="Calibri"/>
        <family val="2"/>
        <scheme val="minor"/>
      </rPr>
      <t>improvement</t>
    </r>
    <r>
      <rPr>
        <sz val="11"/>
        <color theme="1"/>
        <rFont val="Calibri"/>
        <family val="2"/>
        <scheme val="minor"/>
      </rPr>
      <t>, not increase.</t>
    </r>
  </si>
  <si>
    <t>🔹 Two-Tailed Test Example</t>
  </si>
  <si>
    <r>
      <t>Scenario:</t>
    </r>
    <r>
      <rPr>
        <sz val="11"/>
        <color theme="1"/>
        <rFont val="Calibri"/>
        <family val="2"/>
        <scheme val="minor"/>
      </rPr>
      <t xml:space="preserve"> A company wants to know whether a new routing system </t>
    </r>
    <r>
      <rPr>
        <b/>
        <sz val="11"/>
        <color theme="1"/>
        <rFont val="Calibri"/>
        <family val="2"/>
        <scheme val="minor"/>
      </rPr>
      <t>changes customer wait time</t>
    </r>
    <r>
      <rPr>
        <sz val="11"/>
        <color theme="1"/>
        <rFont val="Calibri"/>
        <family val="2"/>
        <scheme val="minor"/>
      </rPr>
      <t>.</t>
    </r>
  </si>
  <si>
    <r>
      <t xml:space="preserve">H₀: New system causes </t>
    </r>
    <r>
      <rPr>
        <b/>
        <sz val="11"/>
        <color theme="1"/>
        <rFont val="Calibri"/>
        <family val="2"/>
        <scheme val="minor"/>
      </rPr>
      <t>no change</t>
    </r>
    <r>
      <rPr>
        <sz val="11"/>
        <color theme="1"/>
        <rFont val="Calibri"/>
        <family val="2"/>
        <scheme val="minor"/>
      </rPr>
      <t xml:space="preserve"> in wait time</t>
    </r>
  </si>
  <si>
    <r>
      <t xml:space="preserve">H₁: New system </t>
    </r>
    <r>
      <rPr>
        <b/>
        <sz val="11"/>
        <color theme="1"/>
        <rFont val="Calibri"/>
        <family val="2"/>
        <scheme val="minor"/>
      </rPr>
      <t>changes</t>
    </r>
    <r>
      <rPr>
        <sz val="11"/>
        <color theme="1"/>
        <rFont val="Calibri"/>
        <family val="2"/>
        <scheme val="minor"/>
      </rPr>
      <t xml:space="preserve"> wait time (increase or decrease)</t>
    </r>
  </si>
  <si>
    <t>👉 Any difference matters.</t>
  </si>
  <si>
    <t>When to use which</t>
  </si>
  <si>
    <r>
      <t xml:space="preserve">Use </t>
    </r>
    <r>
      <rPr>
        <b/>
        <sz val="11"/>
        <color theme="1"/>
        <rFont val="Calibri"/>
        <family val="2"/>
        <scheme val="minor"/>
      </rPr>
      <t>one-tailed</t>
    </r>
    <r>
      <rPr>
        <sz val="11"/>
        <color theme="1"/>
        <rFont val="Calibri"/>
        <family val="2"/>
        <scheme val="minor"/>
      </rPr>
      <t xml:space="preserve"> when the direction is </t>
    </r>
    <r>
      <rPr>
        <b/>
        <sz val="11"/>
        <color theme="1"/>
        <rFont val="Calibri"/>
        <family val="2"/>
        <scheme val="minor"/>
      </rPr>
      <t>predefined and justified</t>
    </r>
  </si>
  <si>
    <r>
      <t xml:space="preserve">Use </t>
    </r>
    <r>
      <rPr>
        <b/>
        <sz val="11"/>
        <color theme="1"/>
        <rFont val="Calibri"/>
        <family val="2"/>
        <scheme val="minor"/>
      </rPr>
      <t>two-tailed</t>
    </r>
    <r>
      <rPr>
        <sz val="11"/>
        <color theme="1"/>
        <rFont val="Calibri"/>
        <family val="2"/>
        <scheme val="minor"/>
      </rPr>
      <t xml:space="preserve"> when </t>
    </r>
    <r>
      <rPr>
        <b/>
        <sz val="11"/>
        <color theme="1"/>
        <rFont val="Calibri"/>
        <family val="2"/>
        <scheme val="minor"/>
      </rPr>
      <t>any difference</t>
    </r>
    <r>
      <rPr>
        <sz val="11"/>
        <color theme="1"/>
        <rFont val="Calibri"/>
        <family val="2"/>
        <scheme val="minor"/>
      </rPr>
      <t xml:space="preserve"> is important</t>
    </r>
  </si>
  <si>
    <t>Question 5: A company claims that the average time to resolve a customer complaint is 10 minutes. A random sample of 9 complaints gives an average time of 12 minutes and a standard deviation of 3 minutes. At α = 0.05, test the claim.</t>
  </si>
  <si>
    <r>
      <t xml:space="preserve">Let’s solve this </t>
    </r>
    <r>
      <rPr>
        <b/>
        <sz val="11"/>
        <color theme="1"/>
        <rFont val="Calibri"/>
        <family val="2"/>
        <scheme val="minor"/>
      </rPr>
      <t>step by step</t>
    </r>
    <r>
      <rPr>
        <sz val="11"/>
        <color theme="1"/>
        <rFont val="Calibri"/>
        <family val="2"/>
        <scheme val="minor"/>
      </rPr>
      <t>, exactly the way it’s expected in exams or interviews.</t>
    </r>
  </si>
  <si>
    <r>
      <t xml:space="preserve">The company </t>
    </r>
    <r>
      <rPr>
        <b/>
        <sz val="11"/>
        <color theme="1"/>
        <rFont val="Calibri"/>
        <family val="2"/>
        <scheme val="minor"/>
      </rPr>
      <t>claims the average time is 10 minutes</t>
    </r>
    <r>
      <rPr>
        <sz val="11"/>
        <color theme="1"/>
        <rFont val="Calibri"/>
        <family val="2"/>
        <scheme val="minor"/>
      </rPr>
      <t>, so this goes in the null hypothesis.</t>
    </r>
  </si>
  <si>
    <r>
      <t>H₀:</t>
    </r>
    <r>
      <rPr>
        <sz val="11"/>
        <color theme="1"/>
        <rFont val="Calibri"/>
        <family val="2"/>
        <scheme val="minor"/>
      </rPr>
      <t xml:space="preserve"> μ = 10 minutes</t>
    </r>
  </si>
  <si>
    <r>
      <t>H₁:</t>
    </r>
    <r>
      <rPr>
        <sz val="11"/>
        <color theme="1"/>
        <rFont val="Calibri"/>
        <family val="2"/>
        <scheme val="minor"/>
      </rPr>
      <t xml:space="preserve"> μ ≠ 10 minutes </t>
    </r>
    <r>
      <rPr>
        <i/>
        <sz val="11"/>
        <color theme="1"/>
        <rFont val="Calibri"/>
        <family val="2"/>
        <scheme val="minor"/>
      </rPr>
      <t>(two-tailed test)</t>
    </r>
  </si>
  <si>
    <r>
      <t xml:space="preserve">Sample size </t>
    </r>
    <r>
      <rPr>
        <b/>
        <sz val="11"/>
        <color theme="1"/>
        <rFont val="Calibri"/>
        <family val="2"/>
        <scheme val="minor"/>
      </rPr>
      <t>n = 9</t>
    </r>
    <r>
      <rPr>
        <sz val="11"/>
        <color theme="1"/>
        <rFont val="Calibri"/>
        <family val="2"/>
        <scheme val="minor"/>
      </rPr>
      <t xml:space="preserve"> (small sample)</t>
    </r>
  </si>
  <si>
    <r>
      <t xml:space="preserve">Population standard deviation </t>
    </r>
    <r>
      <rPr>
        <b/>
        <sz val="11"/>
        <color theme="1"/>
        <rFont val="Calibri"/>
        <family val="2"/>
        <scheme val="minor"/>
      </rPr>
      <t>unknown</t>
    </r>
  </si>
  <si>
    <r>
      <t xml:space="preserve">➡️ Use a </t>
    </r>
    <r>
      <rPr>
        <b/>
        <sz val="11"/>
        <color theme="1"/>
        <rFont val="Calibri"/>
        <family val="2"/>
        <scheme val="minor"/>
      </rPr>
      <t>one-sample t-test</t>
    </r>
  </si>
  <si>
    <t>Sample standard deviation ( s = 3 )</t>
  </si>
  <si>
    <t>✅ Step 4: Compute the test statistic</t>
  </si>
  <si>
    <t>[</t>
  </si>
  <si>
    <t>]</t>
  </si>
  <si>
    <t>✅ Step 5: Critical value</t>
  </si>
  <si>
    <t>Degrees of freedom: ( df = n - 1 = 8 )</t>
  </si>
  <si>
    <t>Two-tailed test at ( \alpha = 0.05 )</t>
  </si>
  <si>
    <t>t_{critical} = \pm 2.306</t>
  </si>
  <si>
    <t>✅ Step 6: Decision</t>
  </si>
  <si>
    <t>Calculated ( |t| = 2 )</t>
  </si>
  <si>
    <t>Critical value ( = 2.306 )</t>
  </si>
  <si>
    <t>Since:</t>
  </si>
  <si>
    <t>|t| &lt; t_{critical}</t>
  </si>
  <si>
    <r>
      <t xml:space="preserve">👉 </t>
    </r>
    <r>
      <rPr>
        <b/>
        <sz val="11"/>
        <color theme="1"/>
        <rFont val="Calibri"/>
        <family val="2"/>
        <scheme val="minor"/>
      </rPr>
      <t>Fail to reject H₀</t>
    </r>
  </si>
  <si>
    <t>✅ Step 7: Conclusion (Final Answer)</t>
  </si>
  <si>
    <r>
      <t xml:space="preserve">At the 5% significance level, there is </t>
    </r>
    <r>
      <rPr>
        <b/>
        <sz val="11"/>
        <color theme="1"/>
        <rFont val="Calibri"/>
        <family val="2"/>
        <scheme val="minor"/>
      </rPr>
      <t>insufficient evidence</t>
    </r>
    <r>
      <rPr>
        <sz val="11"/>
        <color theme="1"/>
        <rFont val="Calibri"/>
        <family val="2"/>
        <scheme val="minor"/>
      </rPr>
      <t xml:space="preserve"> to reject the company’s claim.</t>
    </r>
  </si>
  <si>
    <r>
      <t xml:space="preserve">The data does </t>
    </r>
    <r>
      <rPr>
        <b/>
        <sz val="11"/>
        <color theme="1"/>
        <rFont val="Calibri"/>
        <family val="2"/>
        <scheme val="minor"/>
      </rPr>
      <t>not show a statistically significant difference</t>
    </r>
    <r>
      <rPr>
        <sz val="11"/>
        <color theme="1"/>
        <rFont val="Calibri"/>
        <family val="2"/>
        <scheme val="minor"/>
      </rPr>
      <t xml:space="preserve"> from an average resolution time of 10 minutes.</t>
    </r>
  </si>
  <si>
    <t>Step 1: State the hypotheses</t>
  </si>
  <si>
    <t>Step 2: Identify the test</t>
  </si>
  <si>
    <t>Step 3: Given data</t>
  </si>
  <si>
    <t>Sample mean = 12</t>
  </si>
  <si>
    <t xml:space="preserve">Significance level  = 0.05 </t>
  </si>
  <si>
    <t>Question 6: When should you use a Z-test instead of a t-test?</t>
  </si>
  <si>
    <t>1. Population standard deviation (σ) is known</t>
  </si>
  <si>
    <t>Z-test uses σ, while t-test uses sample standard deviation (s)</t>
  </si>
  <si>
    <t>2. Large sample size (n ≥ 30)</t>
  </si>
  <si>
    <t>By the Central Limit Theorem, the sampling distribution of the mean is approximately normal</t>
  </si>
  <si>
    <r>
      <t>3. Data is normally distributed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approximately normal for large samples)</t>
    </r>
  </si>
  <si>
    <t>Conditions for using a Z-test</t>
  </si>
  <si>
    <t>Question 7: The productivity of 6 employees was measured before and after a training program.</t>
  </si>
  <si>
    <t>At α = 0.05, test if the training improved productivity.</t>
  </si>
  <si>
    <r>
      <t xml:space="preserve">Same employees measured </t>
    </r>
    <r>
      <rPr>
        <b/>
        <sz val="11"/>
        <color theme="1"/>
        <rFont val="Calibri"/>
        <family val="2"/>
        <scheme val="minor"/>
      </rPr>
      <t>before and after</t>
    </r>
    <r>
      <rPr>
        <sz val="11"/>
        <color theme="1"/>
        <rFont val="Calibri"/>
        <family val="2"/>
        <scheme val="minor"/>
      </rPr>
      <t xml:space="preserve"> training</t>
    </r>
  </si>
  <si>
    <r>
      <t xml:space="preserve">Since we are testing whether training </t>
    </r>
    <r>
      <rPr>
        <b/>
        <sz val="11"/>
        <color theme="1"/>
        <rFont val="Calibri"/>
        <family val="2"/>
        <scheme val="minor"/>
      </rPr>
      <t>improved</t>
    </r>
    <r>
      <rPr>
        <sz val="11"/>
        <color theme="1"/>
        <rFont val="Calibri"/>
        <family val="2"/>
        <scheme val="minor"/>
      </rPr>
      <t xml:space="preserve"> productivity, this is a </t>
    </r>
    <r>
      <rPr>
        <b/>
        <sz val="11"/>
        <color theme="1"/>
        <rFont val="Calibri"/>
        <family val="2"/>
        <scheme val="minor"/>
      </rPr>
      <t>one-tailed test</t>
    </r>
    <r>
      <rPr>
        <sz val="11"/>
        <color theme="1"/>
        <rFont val="Calibri"/>
        <family val="2"/>
        <scheme val="minor"/>
      </rPr>
      <t>.</t>
    </r>
  </si>
  <si>
    <r>
      <t>H₀:</t>
    </r>
    <r>
      <rPr>
        <sz val="11"/>
        <color theme="1"/>
        <rFont val="Calibri"/>
        <family val="2"/>
        <scheme val="minor"/>
      </rPr>
      <t xml:space="preserve"> μd = 0 (No improvement)</t>
    </r>
  </si>
  <si>
    <r>
      <t>H₁:</t>
    </r>
    <r>
      <rPr>
        <sz val="11"/>
        <color theme="1"/>
        <rFont val="Calibri"/>
        <family val="2"/>
        <scheme val="minor"/>
      </rPr>
      <t xml:space="preserve"> μd &gt; 0 (Productivity increased)</t>
    </r>
  </si>
  <si>
    <t>✅ Step 3: Compute differences</t>
  </si>
  <si>
    <t>Employee</t>
  </si>
  <si>
    <t>Before</t>
  </si>
  <si>
    <t>After</t>
  </si>
  <si>
    <t>Difference (d)</t>
  </si>
  <si>
    <t>✅ Step 4: Calculate mean and standard deviation of differences</t>
  </si>
  <si>
    <t>Mean difference</t>
  </si>
  <si>
    <t>Standard deviation of differences</t>
  </si>
  <si>
    <t>✅ Step 5: Compute the t-statistic</t>
  </si>
  <si>
    <t>t = \frac{\bar{d}}{s_d / \sqrt{n}}</t>
  </si>
  <si>
    <t>t = \frac{3}{1.79 / \sqrt{6}} \approx 4.11</t>
  </si>
  <si>
    <t>✅ Step 6: Critical value</t>
  </si>
  <si>
    <t>Degrees of freedom: ( df = n - 1 = 5 )</t>
  </si>
  <si>
    <t>One-tailed test at ( \alpha = 0.05 )</t>
  </si>
  <si>
    <t>t_{critical} = 2.015</t>
  </si>
  <si>
    <t>✅ Step 7: Decision</t>
  </si>
  <si>
    <t>Calculated ( t = 4.11 )</t>
  </si>
  <si>
    <t>Critical ( t = 2.015 )</t>
  </si>
  <si>
    <t>4.11 &gt; 2.015</t>
  </si>
  <si>
    <r>
      <t xml:space="preserve">👉 </t>
    </r>
    <r>
      <rPr>
        <b/>
        <sz val="11"/>
        <color theme="1"/>
        <rFont val="Calibri"/>
        <family val="2"/>
        <scheme val="minor"/>
      </rPr>
      <t>Reject H₀</t>
    </r>
  </si>
  <si>
    <t>✅ Step 8: Final Conclusion (Answer)</t>
  </si>
  <si>
    <r>
      <t xml:space="preserve">At the 5% significance level, there is </t>
    </r>
    <r>
      <rPr>
        <b/>
        <sz val="11"/>
        <color theme="1"/>
        <rFont val="Calibri"/>
        <family val="2"/>
        <scheme val="minor"/>
      </rPr>
      <t>sufficient evidence</t>
    </r>
    <r>
      <rPr>
        <sz val="11"/>
        <color theme="1"/>
        <rFont val="Calibri"/>
        <family val="2"/>
        <scheme val="minor"/>
      </rPr>
      <t xml:space="preserve"> to conclude that the training program </t>
    </r>
    <r>
      <rPr>
        <b/>
        <sz val="11"/>
        <color theme="1"/>
        <rFont val="Calibri"/>
        <family val="2"/>
        <scheme val="minor"/>
      </rPr>
      <t>significantly improved employee productivity</t>
    </r>
    <r>
      <rPr>
        <sz val="11"/>
        <color theme="1"/>
        <rFont val="Calibri"/>
        <family val="2"/>
        <scheme val="minor"/>
      </rPr>
      <t>.</t>
    </r>
  </si>
  <si>
    <r>
      <t xml:space="preserve"> Use a </t>
    </r>
    <r>
      <rPr>
        <b/>
        <sz val="11"/>
        <color theme="1"/>
        <rFont val="Calibri"/>
        <family val="2"/>
        <scheme val="minor"/>
      </rPr>
      <t>paired t-test</t>
    </r>
  </si>
  <si>
    <t>Step 1: Identify the test</t>
  </si>
  <si>
    <t>Step 2: State the hypotheses</t>
  </si>
  <si>
    <t>Where d = After - Before</t>
  </si>
  <si>
    <t>STD= 1.79</t>
  </si>
  <si>
    <t>D = {5+5+1+3+1+3}/{6} = 3</t>
  </si>
  <si>
    <t>Question 8: A company wants to test if product preference is independent of gender.</t>
  </si>
  <si>
    <t>Gender</t>
  </si>
  <si>
    <t>Product A</t>
  </si>
  <si>
    <t>Product B</t>
  </si>
  <si>
    <t>Total</t>
  </si>
  <si>
    <t>Male</t>
  </si>
  <si>
    <t>Female</t>
  </si>
  <si>
    <t>Null</t>
  </si>
  <si>
    <t>Alternate</t>
  </si>
  <si>
    <t>No relation</t>
  </si>
  <si>
    <t>Relation exists</t>
  </si>
  <si>
    <t>Expected Frequencies</t>
  </si>
  <si>
    <t>Product A Male</t>
  </si>
  <si>
    <t>Product B Male</t>
  </si>
  <si>
    <t>Product A Female</t>
  </si>
  <si>
    <t>Product B Female</t>
  </si>
  <si>
    <t>Now applying Chi Square Formula</t>
  </si>
  <si>
    <t>Observed</t>
  </si>
  <si>
    <t>Expected Value</t>
  </si>
  <si>
    <t>(o-e)^2/e</t>
  </si>
  <si>
    <t>Degrees of freedom</t>
  </si>
  <si>
    <t>Critical Chi Square</t>
  </si>
  <si>
    <t>At α = 0.05, test independence</t>
  </si>
  <si>
    <t>Alpha</t>
  </si>
  <si>
    <t>Calculated Chi Square</t>
  </si>
  <si>
    <t>Since Calculated Chi Square so we gonna reject Null hypothesis and accept alternate 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</si>
</sst>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horizontal="left" vertical="center" indent="2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219616</xdr:colOff>
      <xdr:row>14</xdr:row>
      <xdr:rowOff>105109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D0B667-311D-44E6-B399-55CA70DCA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3877216" cy="23911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A4A8-49FF-46C3-AB96-A1DCDF3516A4}">
  <dimension ref="A1:A27"/>
  <sheetViews>
    <sheetView showGridLines="0" tabSelected="1" workbookViewId="0"/>
  </sheetViews>
  <sheetFormatPr defaultRowHeight="15" x14ac:dyDescent="0.25"/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5" spans="1:1" ht="18" x14ac:dyDescent="0.25">
      <c r="A5" s="2" t="s">
        <v>2</v>
      </c>
    </row>
    <row r="7" spans="1:1" x14ac:dyDescent="0.25">
      <c r="A7" s="3" t="s">
        <v>3</v>
      </c>
    </row>
    <row r="8" spans="1:1" x14ac:dyDescent="0.25">
      <c r="A8" t="s">
        <v>4</v>
      </c>
    </row>
    <row r="10" spans="1:1" x14ac:dyDescent="0.25">
      <c r="A10" s="3" t="s">
        <v>5</v>
      </c>
    </row>
    <row r="11" spans="1:1" x14ac:dyDescent="0.25">
      <c r="A11" s="4"/>
    </row>
    <row r="12" spans="1:1" x14ac:dyDescent="0.25">
      <c r="A12" s="4" t="s">
        <v>6</v>
      </c>
    </row>
    <row r="13" spans="1:1" x14ac:dyDescent="0.25">
      <c r="A13" s="4" t="s">
        <v>7</v>
      </c>
    </row>
    <row r="15" spans="1:1" ht="18" x14ac:dyDescent="0.25">
      <c r="A15" s="2" t="s">
        <v>8</v>
      </c>
    </row>
    <row r="16" spans="1:1" x14ac:dyDescent="0.25">
      <c r="A16" s="4"/>
    </row>
    <row r="17" spans="1:1" x14ac:dyDescent="0.25">
      <c r="A17" s="5" t="s">
        <v>9</v>
      </c>
    </row>
    <row r="18" spans="1:1" x14ac:dyDescent="0.25">
      <c r="A18" s="4" t="s">
        <v>10</v>
      </c>
    </row>
    <row r="19" spans="1:1" x14ac:dyDescent="0.25">
      <c r="A19" s="4"/>
    </row>
    <row r="20" spans="1:1" x14ac:dyDescent="0.25">
      <c r="A20" s="5" t="s">
        <v>11</v>
      </c>
    </row>
    <row r="21" spans="1:1" x14ac:dyDescent="0.25">
      <c r="A21" s="4" t="s">
        <v>12</v>
      </c>
    </row>
    <row r="22" spans="1:1" x14ac:dyDescent="0.25">
      <c r="A22" s="4"/>
    </row>
    <row r="23" spans="1:1" x14ac:dyDescent="0.25">
      <c r="A23" s="5" t="s">
        <v>13</v>
      </c>
    </row>
    <row r="24" spans="1:1" x14ac:dyDescent="0.25">
      <c r="A24" s="4" t="s">
        <v>14</v>
      </c>
    </row>
    <row r="25" spans="1:1" x14ac:dyDescent="0.25">
      <c r="A25" s="4"/>
    </row>
    <row r="26" spans="1:1" x14ac:dyDescent="0.25">
      <c r="A26" s="5" t="s">
        <v>15</v>
      </c>
    </row>
    <row r="27" spans="1:1" x14ac:dyDescent="0.25">
      <c r="A27" s="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FED13-5EA0-4CE7-82FC-943FCC119035}">
  <dimension ref="A1:A34"/>
  <sheetViews>
    <sheetView showGridLines="0" workbookViewId="0"/>
  </sheetViews>
  <sheetFormatPr defaultRowHeight="15" x14ac:dyDescent="0.25"/>
  <sheetData>
    <row r="1" spans="1:1" s="1" customFormat="1" x14ac:dyDescent="0.25">
      <c r="A1" s="1" t="s">
        <v>17</v>
      </c>
    </row>
    <row r="3" spans="1:1" x14ac:dyDescent="0.25">
      <c r="A3" t="s">
        <v>1</v>
      </c>
    </row>
    <row r="5" spans="1:1" ht="18" x14ac:dyDescent="0.25">
      <c r="A5" s="2" t="s">
        <v>18</v>
      </c>
    </row>
    <row r="7" spans="1:1" x14ac:dyDescent="0.25">
      <c r="A7" t="s">
        <v>19</v>
      </c>
    </row>
    <row r="10" spans="1:1" ht="18" x14ac:dyDescent="0.25">
      <c r="A10" s="2" t="s">
        <v>20</v>
      </c>
    </row>
    <row r="11" spans="1:1" x14ac:dyDescent="0.25">
      <c r="A11" s="4"/>
    </row>
    <row r="12" spans="1:1" x14ac:dyDescent="0.25">
      <c r="A12" s="4" t="s">
        <v>21</v>
      </c>
    </row>
    <row r="13" spans="1:1" x14ac:dyDescent="0.25">
      <c r="A13" s="4"/>
    </row>
    <row r="14" spans="1:1" x14ac:dyDescent="0.25">
      <c r="A14" s="4" t="s">
        <v>22</v>
      </c>
    </row>
    <row r="16" spans="1:1" x14ac:dyDescent="0.25">
      <c r="A16" s="3" t="s">
        <v>5</v>
      </c>
    </row>
    <row r="17" spans="1:1" x14ac:dyDescent="0.25">
      <c r="A17" s="4"/>
    </row>
    <row r="18" spans="1:1" x14ac:dyDescent="0.25">
      <c r="A18" s="4" t="s">
        <v>23</v>
      </c>
    </row>
    <row r="22" spans="1:1" ht="18" x14ac:dyDescent="0.25">
      <c r="A22" s="2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32" spans="1:1" ht="18" x14ac:dyDescent="0.25">
      <c r="A32" s="2"/>
    </row>
    <row r="33" spans="1:1" x14ac:dyDescent="0.25">
      <c r="A33" s="4"/>
    </row>
    <row r="34" spans="1:1" x14ac:dyDescent="0.25">
      <c r="A3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DF94-4C0F-475C-BC49-CF90D1A042C2}">
  <dimension ref="A1:C10"/>
  <sheetViews>
    <sheetView showGridLines="0" workbookViewId="0">
      <selection activeCell="A10" sqref="A10"/>
    </sheetView>
  </sheetViews>
  <sheetFormatPr defaultRowHeight="15" x14ac:dyDescent="0.25"/>
  <cols>
    <col min="1" max="1" width="12.5703125" bestFit="1" customWidth="1"/>
    <col min="2" max="2" width="53.42578125" bestFit="1" customWidth="1"/>
    <col min="3" max="3" width="41.28515625" bestFit="1" customWidth="1"/>
  </cols>
  <sheetData>
    <row r="1" spans="1:3" s="1" customFormat="1" x14ac:dyDescent="0.25">
      <c r="A1" s="1" t="s">
        <v>24</v>
      </c>
    </row>
    <row r="3" spans="1:3" x14ac:dyDescent="0.25">
      <c r="A3" t="s">
        <v>1</v>
      </c>
    </row>
    <row r="5" spans="1:3" x14ac:dyDescent="0.25">
      <c r="A5" s="9" t="s">
        <v>25</v>
      </c>
      <c r="B5" s="9" t="s">
        <v>26</v>
      </c>
      <c r="C5" s="9" t="s">
        <v>27</v>
      </c>
    </row>
    <row r="6" spans="1:3" x14ac:dyDescent="0.25">
      <c r="A6" s="10" t="s">
        <v>28</v>
      </c>
      <c r="B6" s="10" t="s">
        <v>29</v>
      </c>
      <c r="C6" s="10" t="s">
        <v>30</v>
      </c>
    </row>
    <row r="7" spans="1:3" x14ac:dyDescent="0.25">
      <c r="A7" s="10" t="s">
        <v>31</v>
      </c>
      <c r="B7" s="9" t="s">
        <v>32</v>
      </c>
      <c r="C7" s="9" t="s">
        <v>33</v>
      </c>
    </row>
    <row r="8" spans="1:3" x14ac:dyDescent="0.25">
      <c r="A8" s="10" t="s">
        <v>34</v>
      </c>
      <c r="B8" s="9" t="s">
        <v>35</v>
      </c>
      <c r="C8" s="9" t="s">
        <v>36</v>
      </c>
    </row>
    <row r="9" spans="1:3" x14ac:dyDescent="0.25">
      <c r="A9" s="10" t="s">
        <v>37</v>
      </c>
      <c r="B9" s="10" t="s">
        <v>38</v>
      </c>
      <c r="C9" s="10" t="s">
        <v>39</v>
      </c>
    </row>
    <row r="10" spans="1:3" x14ac:dyDescent="0.25">
      <c r="A10" s="10" t="s">
        <v>40</v>
      </c>
      <c r="B10" s="10" t="s">
        <v>41</v>
      </c>
      <c r="C10" s="10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D166-CD8F-46D1-9989-6CF885F53EC6}">
  <dimension ref="A1:C44"/>
  <sheetViews>
    <sheetView showGridLines="0" workbookViewId="0">
      <selection activeCell="B21" sqref="B21"/>
    </sheetView>
  </sheetViews>
  <sheetFormatPr defaultRowHeight="15" x14ac:dyDescent="0.25"/>
  <cols>
    <col min="1" max="1" width="25.28515625" bestFit="1" customWidth="1"/>
    <col min="2" max="2" width="47.5703125" bestFit="1" customWidth="1"/>
    <col min="3" max="3" width="33.5703125" bestFit="1" customWidth="1"/>
  </cols>
  <sheetData>
    <row r="1" spans="1:3" s="1" customFormat="1" x14ac:dyDescent="0.25">
      <c r="A1" s="1" t="s">
        <v>43</v>
      </c>
    </row>
    <row r="3" spans="1:3" x14ac:dyDescent="0.25">
      <c r="A3" t="s">
        <v>1</v>
      </c>
    </row>
    <row r="5" spans="1:3" ht="18" x14ac:dyDescent="0.25">
      <c r="A5" s="2" t="s">
        <v>44</v>
      </c>
    </row>
    <row r="7" spans="1:3" x14ac:dyDescent="0.25">
      <c r="A7" s="9" t="s">
        <v>25</v>
      </c>
      <c r="B7" s="9" t="s">
        <v>45</v>
      </c>
      <c r="C7" s="9" t="s">
        <v>46</v>
      </c>
    </row>
    <row r="8" spans="1:3" x14ac:dyDescent="0.25">
      <c r="A8" s="10" t="s">
        <v>47</v>
      </c>
      <c r="B8" s="10" t="s">
        <v>48</v>
      </c>
      <c r="C8" s="10" t="s">
        <v>49</v>
      </c>
    </row>
    <row r="9" spans="1:3" x14ac:dyDescent="0.25">
      <c r="A9" s="10" t="s">
        <v>50</v>
      </c>
      <c r="B9" s="10" t="s">
        <v>51</v>
      </c>
      <c r="C9" s="10" t="s">
        <v>52</v>
      </c>
    </row>
    <row r="10" spans="1:3" x14ac:dyDescent="0.25">
      <c r="A10" s="10" t="s">
        <v>53</v>
      </c>
      <c r="B10" s="10" t="s">
        <v>54</v>
      </c>
      <c r="C10" s="10" t="s">
        <v>55</v>
      </c>
    </row>
    <row r="11" spans="1:3" x14ac:dyDescent="0.25">
      <c r="A11" s="10" t="s">
        <v>56</v>
      </c>
      <c r="B11" s="10" t="s">
        <v>57</v>
      </c>
      <c r="C11" s="10" t="s">
        <v>58</v>
      </c>
    </row>
    <row r="14" spans="1:3" ht="18" x14ac:dyDescent="0.25">
      <c r="A14" s="2" t="s">
        <v>59</v>
      </c>
    </row>
    <row r="16" spans="1:3" ht="15.75" x14ac:dyDescent="0.25">
      <c r="A16" s="11" t="s">
        <v>60</v>
      </c>
    </row>
    <row r="18" spans="1:1" x14ac:dyDescent="0.25">
      <c r="A18" s="3" t="s">
        <v>61</v>
      </c>
    </row>
    <row r="19" spans="1:1" x14ac:dyDescent="0.25">
      <c r="A19" s="4"/>
    </row>
    <row r="20" spans="1:1" x14ac:dyDescent="0.25">
      <c r="A20" s="4" t="s">
        <v>62</v>
      </c>
    </row>
    <row r="21" spans="1:1" x14ac:dyDescent="0.25">
      <c r="A21" s="4"/>
    </row>
    <row r="22" spans="1:1" x14ac:dyDescent="0.25">
      <c r="A22" s="4" t="s">
        <v>63</v>
      </c>
    </row>
    <row r="24" spans="1:1" x14ac:dyDescent="0.25">
      <c r="A24" t="s">
        <v>64</v>
      </c>
    </row>
    <row r="28" spans="1:1" ht="15.75" x14ac:dyDescent="0.25">
      <c r="A28" s="11" t="s">
        <v>65</v>
      </c>
    </row>
    <row r="30" spans="1:1" x14ac:dyDescent="0.25">
      <c r="A30" s="3" t="s">
        <v>66</v>
      </c>
    </row>
    <row r="31" spans="1:1" x14ac:dyDescent="0.25">
      <c r="A31" s="4"/>
    </row>
    <row r="32" spans="1:1" x14ac:dyDescent="0.25">
      <c r="A32" s="4" t="s">
        <v>67</v>
      </c>
    </row>
    <row r="33" spans="1:1" x14ac:dyDescent="0.25">
      <c r="A33" s="4"/>
    </row>
    <row r="34" spans="1:1" x14ac:dyDescent="0.25">
      <c r="A34" s="4" t="s">
        <v>68</v>
      </c>
    </row>
    <row r="36" spans="1:1" x14ac:dyDescent="0.25">
      <c r="A36" t="s">
        <v>69</v>
      </c>
    </row>
    <row r="40" spans="1:1" ht="18" x14ac:dyDescent="0.25">
      <c r="A40" s="2" t="s">
        <v>70</v>
      </c>
    </row>
    <row r="41" spans="1:1" x14ac:dyDescent="0.25">
      <c r="A41" s="4"/>
    </row>
    <row r="42" spans="1:1" x14ac:dyDescent="0.25">
      <c r="A42" s="4" t="s">
        <v>71</v>
      </c>
    </row>
    <row r="43" spans="1:1" x14ac:dyDescent="0.25">
      <c r="A43" s="4"/>
    </row>
    <row r="44" spans="1:1" x14ac:dyDescent="0.25">
      <c r="A44" s="4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D381-B4FB-498B-8AA8-470DA31D5FB7}">
  <dimension ref="A1:A80"/>
  <sheetViews>
    <sheetView showGridLines="0" workbookViewId="0"/>
  </sheetViews>
  <sheetFormatPr defaultRowHeight="15" x14ac:dyDescent="0.25"/>
  <sheetData>
    <row r="1" spans="1:1" s="1" customFormat="1" x14ac:dyDescent="0.25">
      <c r="A1" s="1" t="s">
        <v>73</v>
      </c>
    </row>
    <row r="3" spans="1:1" x14ac:dyDescent="0.25">
      <c r="A3" t="s">
        <v>1</v>
      </c>
    </row>
    <row r="5" spans="1:1" x14ac:dyDescent="0.25">
      <c r="A5" t="s">
        <v>74</v>
      </c>
    </row>
    <row r="9" spans="1:1" ht="23.25" x14ac:dyDescent="0.25">
      <c r="A9" s="12" t="s">
        <v>98</v>
      </c>
    </row>
    <row r="11" spans="1:1" x14ac:dyDescent="0.25">
      <c r="A11" t="s">
        <v>75</v>
      </c>
    </row>
    <row r="12" spans="1:1" x14ac:dyDescent="0.25">
      <c r="A12" s="4"/>
    </row>
    <row r="13" spans="1:1" x14ac:dyDescent="0.25">
      <c r="A13" s="5" t="s">
        <v>76</v>
      </c>
    </row>
    <row r="14" spans="1:1" x14ac:dyDescent="0.25">
      <c r="A14" s="4"/>
    </row>
    <row r="15" spans="1:1" x14ac:dyDescent="0.25">
      <c r="A15" s="5" t="s">
        <v>77</v>
      </c>
    </row>
    <row r="19" spans="1:1" ht="23.25" x14ac:dyDescent="0.25">
      <c r="A19" s="12" t="s">
        <v>99</v>
      </c>
    </row>
    <row r="20" spans="1:1" x14ac:dyDescent="0.25">
      <c r="A20" s="4"/>
    </row>
    <row r="21" spans="1:1" x14ac:dyDescent="0.25">
      <c r="A21" s="4" t="s">
        <v>78</v>
      </c>
    </row>
    <row r="22" spans="1:1" x14ac:dyDescent="0.25">
      <c r="A22" s="4"/>
    </row>
    <row r="23" spans="1:1" x14ac:dyDescent="0.25">
      <c r="A23" s="4" t="s">
        <v>79</v>
      </c>
    </row>
    <row r="24" spans="1:1" x14ac:dyDescent="0.25">
      <c r="A24" s="4" t="s">
        <v>80</v>
      </c>
    </row>
    <row r="28" spans="1:1" ht="23.25" x14ac:dyDescent="0.25">
      <c r="A28" s="12" t="s">
        <v>100</v>
      </c>
    </row>
    <row r="29" spans="1:1" x14ac:dyDescent="0.25">
      <c r="A29" s="4"/>
    </row>
    <row r="30" spans="1:1" x14ac:dyDescent="0.25">
      <c r="A30" s="4" t="s">
        <v>101</v>
      </c>
    </row>
    <row r="31" spans="1:1" x14ac:dyDescent="0.25">
      <c r="A31" s="4"/>
    </row>
    <row r="32" spans="1:1" x14ac:dyDescent="0.25">
      <c r="A32" s="4" t="s">
        <v>81</v>
      </c>
    </row>
    <row r="33" spans="1:1" x14ac:dyDescent="0.25">
      <c r="A33" s="4"/>
    </row>
    <row r="34" spans="1:1" x14ac:dyDescent="0.25">
      <c r="A34" s="4" t="s">
        <v>102</v>
      </c>
    </row>
    <row r="38" spans="1:1" ht="23.25" x14ac:dyDescent="0.25">
      <c r="A38" s="12" t="s">
        <v>82</v>
      </c>
    </row>
    <row r="41" spans="1:1" x14ac:dyDescent="0.25">
      <c r="A41" s="13">
        <f>(12-10)/(3/SQRT(9))</f>
        <v>2</v>
      </c>
    </row>
    <row r="50" spans="1:1" ht="23.25" x14ac:dyDescent="0.25">
      <c r="A50" s="12" t="s">
        <v>85</v>
      </c>
    </row>
    <row r="51" spans="1:1" x14ac:dyDescent="0.25">
      <c r="A51" s="4"/>
    </row>
    <row r="52" spans="1:1" x14ac:dyDescent="0.25">
      <c r="A52" s="4" t="s">
        <v>86</v>
      </c>
    </row>
    <row r="53" spans="1:1" x14ac:dyDescent="0.25">
      <c r="A53" s="4"/>
    </row>
    <row r="54" spans="1:1" x14ac:dyDescent="0.25">
      <c r="A54" s="4" t="s">
        <v>87</v>
      </c>
    </row>
    <row r="56" spans="1:1" x14ac:dyDescent="0.25">
      <c r="A56" t="s">
        <v>83</v>
      </c>
    </row>
    <row r="57" spans="1:1" x14ac:dyDescent="0.25">
      <c r="A57" t="s">
        <v>88</v>
      </c>
    </row>
    <row r="58" spans="1:1" x14ac:dyDescent="0.25">
      <c r="A58" t="s">
        <v>84</v>
      </c>
    </row>
    <row r="62" spans="1:1" ht="23.25" x14ac:dyDescent="0.25">
      <c r="A62" s="12" t="s">
        <v>89</v>
      </c>
    </row>
    <row r="63" spans="1:1" x14ac:dyDescent="0.25">
      <c r="A63" s="4"/>
    </row>
    <row r="64" spans="1:1" x14ac:dyDescent="0.25">
      <c r="A64" s="4" t="s">
        <v>90</v>
      </c>
    </row>
    <row r="65" spans="1:1" x14ac:dyDescent="0.25">
      <c r="A65" s="4"/>
    </row>
    <row r="66" spans="1:1" x14ac:dyDescent="0.25">
      <c r="A66" s="4" t="s">
        <v>91</v>
      </c>
    </row>
    <row r="68" spans="1:1" x14ac:dyDescent="0.25">
      <c r="A68" t="s">
        <v>92</v>
      </c>
    </row>
    <row r="69" spans="1:1" x14ac:dyDescent="0.25">
      <c r="A69" t="s">
        <v>83</v>
      </c>
    </row>
    <row r="70" spans="1:1" x14ac:dyDescent="0.25">
      <c r="A70" t="s">
        <v>93</v>
      </c>
    </row>
    <row r="71" spans="1:1" x14ac:dyDescent="0.25">
      <c r="A71" t="s">
        <v>84</v>
      </c>
    </row>
    <row r="73" spans="1:1" x14ac:dyDescent="0.25">
      <c r="A73" t="s">
        <v>94</v>
      </c>
    </row>
    <row r="77" spans="1:1" ht="23.25" x14ac:dyDescent="0.25">
      <c r="A77" s="12" t="s">
        <v>95</v>
      </c>
    </row>
    <row r="78" spans="1:1" x14ac:dyDescent="0.25">
      <c r="A78" s="4"/>
    </row>
    <row r="79" spans="1:1" x14ac:dyDescent="0.25">
      <c r="A79" s="4" t="s">
        <v>96</v>
      </c>
    </row>
    <row r="80" spans="1:1" x14ac:dyDescent="0.25">
      <c r="A80" s="4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8471-675E-4A7B-8F2E-E0B72E2B8A71}">
  <dimension ref="A1:A15"/>
  <sheetViews>
    <sheetView showGridLines="0" workbookViewId="0"/>
  </sheetViews>
  <sheetFormatPr defaultRowHeight="15" x14ac:dyDescent="0.25"/>
  <sheetData>
    <row r="1" spans="1:1" s="1" customFormat="1" x14ac:dyDescent="0.25">
      <c r="A1" s="1" t="s">
        <v>103</v>
      </c>
    </row>
    <row r="3" spans="1:1" x14ac:dyDescent="0.25">
      <c r="A3" t="s">
        <v>1</v>
      </c>
    </row>
    <row r="5" spans="1:1" ht="23.25" x14ac:dyDescent="0.25">
      <c r="A5" s="12" t="s">
        <v>109</v>
      </c>
    </row>
    <row r="6" spans="1:1" x14ac:dyDescent="0.25">
      <c r="A6" s="4"/>
    </row>
    <row r="7" spans="1:1" x14ac:dyDescent="0.25">
      <c r="A7" s="5" t="s">
        <v>104</v>
      </c>
    </row>
    <row r="8" spans="1:1" x14ac:dyDescent="0.25">
      <c r="A8" s="14"/>
    </row>
    <row r="9" spans="1:1" x14ac:dyDescent="0.25">
      <c r="A9" s="14" t="s">
        <v>105</v>
      </c>
    </row>
    <row r="10" spans="1:1" x14ac:dyDescent="0.25">
      <c r="A10" s="4"/>
    </row>
    <row r="11" spans="1:1" x14ac:dyDescent="0.25">
      <c r="A11" s="5" t="s">
        <v>106</v>
      </c>
    </row>
    <row r="12" spans="1:1" x14ac:dyDescent="0.25">
      <c r="A12" s="14"/>
    </row>
    <row r="13" spans="1:1" x14ac:dyDescent="0.25">
      <c r="A13" s="14" t="s">
        <v>107</v>
      </c>
    </row>
    <row r="14" spans="1:1" x14ac:dyDescent="0.25">
      <c r="A14" s="4"/>
    </row>
    <row r="15" spans="1:1" x14ac:dyDescent="0.25">
      <c r="A15" s="5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334D-E8C0-4070-919C-02344F675A3F}">
  <dimension ref="A1:D108"/>
  <sheetViews>
    <sheetView showGridLines="0" workbookViewId="0"/>
  </sheetViews>
  <sheetFormatPr defaultRowHeight="15" x14ac:dyDescent="0.25"/>
  <sheetData>
    <row r="1" spans="1:1" s="1" customFormat="1" x14ac:dyDescent="0.25">
      <c r="A1" s="1" t="s">
        <v>110</v>
      </c>
    </row>
    <row r="16" spans="1:1" x14ac:dyDescent="0.25">
      <c r="A16" t="s">
        <v>111</v>
      </c>
    </row>
    <row r="18" spans="1:1" x14ac:dyDescent="0.25">
      <c r="A18" t="s">
        <v>1</v>
      </c>
    </row>
    <row r="23" spans="1:1" ht="23.25" x14ac:dyDescent="0.25">
      <c r="A23" s="12" t="s">
        <v>139</v>
      </c>
    </row>
    <row r="24" spans="1:1" x14ac:dyDescent="0.25">
      <c r="A24" s="4"/>
    </row>
    <row r="25" spans="1:1" x14ac:dyDescent="0.25">
      <c r="A25" s="4" t="s">
        <v>112</v>
      </c>
    </row>
    <row r="26" spans="1:1" x14ac:dyDescent="0.25">
      <c r="A26" s="4" t="s">
        <v>138</v>
      </c>
    </row>
    <row r="30" spans="1:1" ht="23.25" x14ac:dyDescent="0.25">
      <c r="A30" s="12" t="s">
        <v>140</v>
      </c>
    </row>
    <row r="32" spans="1:1" x14ac:dyDescent="0.25">
      <c r="A32" t="s">
        <v>113</v>
      </c>
    </row>
    <row r="33" spans="1:4" x14ac:dyDescent="0.25">
      <c r="A33" s="4"/>
    </row>
    <row r="34" spans="1:4" x14ac:dyDescent="0.25">
      <c r="A34" s="5" t="s">
        <v>114</v>
      </c>
    </row>
    <row r="35" spans="1:4" x14ac:dyDescent="0.25">
      <c r="A35" s="4"/>
    </row>
    <row r="36" spans="1:4" x14ac:dyDescent="0.25">
      <c r="A36" s="5" t="s">
        <v>115</v>
      </c>
    </row>
    <row r="38" spans="1:4" x14ac:dyDescent="0.25">
      <c r="A38" t="s">
        <v>141</v>
      </c>
    </row>
    <row r="42" spans="1:4" ht="23.25" x14ac:dyDescent="0.25">
      <c r="A42" s="12" t="s">
        <v>116</v>
      </c>
    </row>
    <row r="44" spans="1:4" ht="30" x14ac:dyDescent="0.25">
      <c r="A44" s="7" t="s">
        <v>117</v>
      </c>
      <c r="B44" s="7" t="s">
        <v>118</v>
      </c>
      <c r="C44" s="7" t="s">
        <v>119</v>
      </c>
      <c r="D44" s="7" t="s">
        <v>120</v>
      </c>
    </row>
    <row r="45" spans="1:4" x14ac:dyDescent="0.25">
      <c r="A45" s="8">
        <v>1</v>
      </c>
      <c r="B45" s="8">
        <v>50</v>
      </c>
      <c r="C45" s="8">
        <v>55</v>
      </c>
      <c r="D45" s="8">
        <v>5</v>
      </c>
    </row>
    <row r="46" spans="1:4" x14ac:dyDescent="0.25">
      <c r="A46" s="8">
        <v>2</v>
      </c>
      <c r="B46" s="8">
        <v>60</v>
      </c>
      <c r="C46" s="8">
        <v>65</v>
      </c>
      <c r="D46" s="8">
        <v>5</v>
      </c>
    </row>
    <row r="47" spans="1:4" x14ac:dyDescent="0.25">
      <c r="A47" s="8">
        <v>3</v>
      </c>
      <c r="B47" s="8">
        <v>58</v>
      </c>
      <c r="C47" s="8">
        <v>59</v>
      </c>
      <c r="D47" s="8">
        <v>1</v>
      </c>
    </row>
    <row r="48" spans="1:4" x14ac:dyDescent="0.25">
      <c r="A48" s="8">
        <v>4</v>
      </c>
      <c r="B48" s="8">
        <v>55</v>
      </c>
      <c r="C48" s="8">
        <v>58</v>
      </c>
      <c r="D48" s="8">
        <v>3</v>
      </c>
    </row>
    <row r="49" spans="1:4" x14ac:dyDescent="0.25">
      <c r="A49" s="8">
        <v>5</v>
      </c>
      <c r="B49" s="8">
        <v>62</v>
      </c>
      <c r="C49" s="8">
        <v>63</v>
      </c>
      <c r="D49" s="8">
        <v>1</v>
      </c>
    </row>
    <row r="50" spans="1:4" x14ac:dyDescent="0.25">
      <c r="A50" s="8">
        <v>6</v>
      </c>
      <c r="B50" s="8">
        <v>56</v>
      </c>
      <c r="C50" s="8">
        <v>59</v>
      </c>
      <c r="D50" s="8">
        <v>3</v>
      </c>
    </row>
    <row r="53" spans="1:4" ht="23.25" x14ac:dyDescent="0.25">
      <c r="A53" s="12" t="s">
        <v>121</v>
      </c>
    </row>
    <row r="54" spans="1:4" x14ac:dyDescent="0.25">
      <c r="A54" s="4"/>
    </row>
    <row r="55" spans="1:4" x14ac:dyDescent="0.25">
      <c r="A55" s="4" t="s">
        <v>122</v>
      </c>
    </row>
    <row r="56" spans="1:4" x14ac:dyDescent="0.25">
      <c r="A56" s="4"/>
    </row>
    <row r="57" spans="1:4" x14ac:dyDescent="0.25">
      <c r="A57" s="4" t="s">
        <v>143</v>
      </c>
    </row>
    <row r="58" spans="1:4" x14ac:dyDescent="0.25">
      <c r="A58" s="4"/>
    </row>
    <row r="59" spans="1:4" x14ac:dyDescent="0.25">
      <c r="A59" s="4"/>
    </row>
    <row r="60" spans="1:4" x14ac:dyDescent="0.25">
      <c r="A60" s="4" t="s">
        <v>123</v>
      </c>
    </row>
    <row r="61" spans="1:4" x14ac:dyDescent="0.25">
      <c r="A61" s="4"/>
    </row>
    <row r="62" spans="1:4" x14ac:dyDescent="0.25">
      <c r="A62" s="4" t="s">
        <v>142</v>
      </c>
    </row>
    <row r="63" spans="1:4" x14ac:dyDescent="0.25">
      <c r="A63" s="4"/>
    </row>
    <row r="67" spans="1:1" ht="23.25" x14ac:dyDescent="0.25">
      <c r="A67" s="12" t="s">
        <v>124</v>
      </c>
    </row>
    <row r="69" spans="1:1" x14ac:dyDescent="0.25">
      <c r="A69" t="s">
        <v>83</v>
      </c>
    </row>
    <row r="70" spans="1:1" x14ac:dyDescent="0.25">
      <c r="A70" t="s">
        <v>125</v>
      </c>
    </row>
    <row r="71" spans="1:1" x14ac:dyDescent="0.25">
      <c r="A71" t="s">
        <v>84</v>
      </c>
    </row>
    <row r="73" spans="1:1" x14ac:dyDescent="0.25">
      <c r="A73" t="s">
        <v>83</v>
      </c>
    </row>
    <row r="74" spans="1:1" x14ac:dyDescent="0.25">
      <c r="A74" t="s">
        <v>126</v>
      </c>
    </row>
    <row r="75" spans="1:1" x14ac:dyDescent="0.25">
      <c r="A75" t="s">
        <v>84</v>
      </c>
    </row>
    <row r="79" spans="1:1" ht="23.25" x14ac:dyDescent="0.25">
      <c r="A79" s="12" t="s">
        <v>127</v>
      </c>
    </row>
    <row r="80" spans="1:1" x14ac:dyDescent="0.25">
      <c r="A80" s="4"/>
    </row>
    <row r="81" spans="1:1" x14ac:dyDescent="0.25">
      <c r="A81" s="4" t="s">
        <v>128</v>
      </c>
    </row>
    <row r="82" spans="1:1" x14ac:dyDescent="0.25">
      <c r="A82" s="4"/>
    </row>
    <row r="83" spans="1:1" x14ac:dyDescent="0.25">
      <c r="A83" s="4" t="s">
        <v>129</v>
      </c>
    </row>
    <row r="86" spans="1:1" x14ac:dyDescent="0.25">
      <c r="A86" t="s">
        <v>130</v>
      </c>
    </row>
    <row r="91" spans="1:1" ht="23.25" x14ac:dyDescent="0.25">
      <c r="A91" s="12" t="s">
        <v>131</v>
      </c>
    </row>
    <row r="92" spans="1:1" x14ac:dyDescent="0.25">
      <c r="A92" s="4"/>
    </row>
    <row r="93" spans="1:1" x14ac:dyDescent="0.25">
      <c r="A93" s="4" t="s">
        <v>132</v>
      </c>
    </row>
    <row r="94" spans="1:1" x14ac:dyDescent="0.25">
      <c r="A94" s="4"/>
    </row>
    <row r="95" spans="1:1" x14ac:dyDescent="0.25">
      <c r="A95" s="4" t="s">
        <v>133</v>
      </c>
    </row>
    <row r="97" spans="1:1" x14ac:dyDescent="0.25">
      <c r="A97" t="s">
        <v>92</v>
      </c>
    </row>
    <row r="99" spans="1:1" x14ac:dyDescent="0.25">
      <c r="A99" t="s">
        <v>134</v>
      </c>
    </row>
    <row r="102" spans="1:1" x14ac:dyDescent="0.25">
      <c r="A102" t="s">
        <v>135</v>
      </c>
    </row>
    <row r="106" spans="1:1" ht="23.25" x14ac:dyDescent="0.25">
      <c r="A106" s="12" t="s">
        <v>136</v>
      </c>
    </row>
    <row r="107" spans="1:1" x14ac:dyDescent="0.25">
      <c r="A107" s="4"/>
    </row>
    <row r="108" spans="1:1" x14ac:dyDescent="0.25">
      <c r="A108" s="4" t="s">
        <v>137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494D9-FD50-43EE-8F23-FE71731B7F2D}">
  <dimension ref="A1:F41"/>
  <sheetViews>
    <sheetView showGridLines="0" workbookViewId="0"/>
  </sheetViews>
  <sheetFormatPr defaultRowHeight="15" x14ac:dyDescent="0.25"/>
  <cols>
    <col min="1" max="1" width="7.5703125" bestFit="1" customWidth="1"/>
    <col min="2" max="2" width="9.42578125" bestFit="1" customWidth="1"/>
    <col min="3" max="3" width="14.140625" bestFit="1" customWidth="1"/>
    <col min="4" max="4" width="5.42578125" bestFit="1" customWidth="1"/>
  </cols>
  <sheetData>
    <row r="1" spans="1:4" s="1" customFormat="1" x14ac:dyDescent="0.25">
      <c r="A1" s="1" t="s">
        <v>144</v>
      </c>
    </row>
    <row r="3" spans="1:4" x14ac:dyDescent="0.25">
      <c r="A3" t="s">
        <v>166</v>
      </c>
    </row>
    <row r="4" spans="1:4" x14ac:dyDescent="0.25">
      <c r="A4" t="s">
        <v>1</v>
      </c>
    </row>
    <row r="6" spans="1:4" x14ac:dyDescent="0.25">
      <c r="A6" s="15" t="s">
        <v>145</v>
      </c>
      <c r="B6" s="15" t="s">
        <v>146</v>
      </c>
      <c r="C6" s="15" t="s">
        <v>147</v>
      </c>
      <c r="D6" s="15" t="s">
        <v>148</v>
      </c>
    </row>
    <row r="7" spans="1:4" x14ac:dyDescent="0.25">
      <c r="A7" s="15" t="s">
        <v>149</v>
      </c>
      <c r="B7" s="15">
        <v>30</v>
      </c>
      <c r="C7" s="15">
        <v>20</v>
      </c>
      <c r="D7" s="15">
        <v>50</v>
      </c>
    </row>
    <row r="8" spans="1:4" x14ac:dyDescent="0.25">
      <c r="A8" s="15" t="s">
        <v>150</v>
      </c>
      <c r="B8" s="15">
        <v>10</v>
      </c>
      <c r="C8" s="15">
        <v>40</v>
      </c>
      <c r="D8" s="15">
        <v>50</v>
      </c>
    </row>
    <row r="9" spans="1:4" x14ac:dyDescent="0.25">
      <c r="A9" s="15" t="s">
        <v>148</v>
      </c>
      <c r="B9" s="15">
        <v>40</v>
      </c>
      <c r="C9" s="15">
        <v>60</v>
      </c>
      <c r="D9" s="15">
        <v>100</v>
      </c>
    </row>
    <row r="11" spans="1:4" x14ac:dyDescent="0.25">
      <c r="B11" s="16" t="s">
        <v>151</v>
      </c>
      <c r="C11" s="16" t="s">
        <v>153</v>
      </c>
    </row>
    <row r="12" spans="1:4" x14ac:dyDescent="0.25">
      <c r="B12" s="16" t="s">
        <v>152</v>
      </c>
      <c r="C12" s="16" t="s">
        <v>154</v>
      </c>
    </row>
    <row r="14" spans="1:4" x14ac:dyDescent="0.25">
      <c r="B14" t="s">
        <v>155</v>
      </c>
    </row>
    <row r="16" spans="1:4" x14ac:dyDescent="0.25">
      <c r="A16" t="s">
        <v>156</v>
      </c>
      <c r="C16">
        <f>(D7*B9)/D9</f>
        <v>20</v>
      </c>
    </row>
    <row r="17" spans="1:6" x14ac:dyDescent="0.25">
      <c r="A17" t="s">
        <v>157</v>
      </c>
      <c r="C17">
        <f>(D7*C9)/D9</f>
        <v>30</v>
      </c>
    </row>
    <row r="18" spans="1:6" x14ac:dyDescent="0.25">
      <c r="A18" t="s">
        <v>158</v>
      </c>
      <c r="C18">
        <f>(D8*B9)/D9</f>
        <v>20</v>
      </c>
    </row>
    <row r="19" spans="1:6" x14ac:dyDescent="0.25">
      <c r="A19" t="s">
        <v>159</v>
      </c>
      <c r="C19">
        <f>(D8*C9)/D9</f>
        <v>30</v>
      </c>
    </row>
    <row r="22" spans="1:6" x14ac:dyDescent="0.25">
      <c r="A22" t="s">
        <v>160</v>
      </c>
    </row>
    <row r="23" spans="1:6" x14ac:dyDescent="0.25">
      <c r="F23" t="s">
        <v>163</v>
      </c>
    </row>
    <row r="24" spans="1:6" x14ac:dyDescent="0.25">
      <c r="C24" t="s">
        <v>161</v>
      </c>
      <c r="D24" t="s">
        <v>162</v>
      </c>
    </row>
    <row r="25" spans="1:6" x14ac:dyDescent="0.25">
      <c r="A25" t="s">
        <v>156</v>
      </c>
      <c r="C25">
        <v>30</v>
      </c>
      <c r="D25">
        <v>20</v>
      </c>
      <c r="F25">
        <f>((C25-D25)*(C25-D25))/D25</f>
        <v>5</v>
      </c>
    </row>
    <row r="26" spans="1:6" x14ac:dyDescent="0.25">
      <c r="A26" t="s">
        <v>157</v>
      </c>
      <c r="C26">
        <v>20</v>
      </c>
      <c r="D26">
        <v>30</v>
      </c>
      <c r="F26">
        <f t="shared" ref="F26:F28" si="0">((C26-D26)*(C26-D26))/D26</f>
        <v>3.3333333333333335</v>
      </c>
    </row>
    <row r="27" spans="1:6" x14ac:dyDescent="0.25">
      <c r="A27" t="s">
        <v>158</v>
      </c>
      <c r="C27">
        <v>10</v>
      </c>
      <c r="D27">
        <v>20</v>
      </c>
      <c r="F27">
        <f t="shared" si="0"/>
        <v>5</v>
      </c>
    </row>
    <row r="28" spans="1:6" x14ac:dyDescent="0.25">
      <c r="A28" t="s">
        <v>159</v>
      </c>
      <c r="C28">
        <v>40</v>
      </c>
      <c r="D28">
        <v>30</v>
      </c>
      <c r="F28">
        <f t="shared" si="0"/>
        <v>3.3333333333333335</v>
      </c>
    </row>
    <row r="29" spans="1:6" x14ac:dyDescent="0.25">
      <c r="F29">
        <f>SUM(F25:F28)</f>
        <v>16.666666666666668</v>
      </c>
    </row>
    <row r="31" spans="1:6" x14ac:dyDescent="0.25">
      <c r="A31" t="s">
        <v>164</v>
      </c>
    </row>
    <row r="33" spans="1:3" x14ac:dyDescent="0.25">
      <c r="B33">
        <f>(2-1)*(2-1)</f>
        <v>1</v>
      </c>
    </row>
    <row r="35" spans="1:3" x14ac:dyDescent="0.25">
      <c r="A35" t="s">
        <v>165</v>
      </c>
      <c r="C35">
        <v>3.8410000000000002</v>
      </c>
    </row>
    <row r="36" spans="1:3" x14ac:dyDescent="0.25">
      <c r="A36" t="s">
        <v>167</v>
      </c>
      <c r="C36">
        <v>0.05</v>
      </c>
    </row>
    <row r="37" spans="1:3" x14ac:dyDescent="0.25">
      <c r="A37" t="s">
        <v>164</v>
      </c>
      <c r="C37">
        <v>1</v>
      </c>
    </row>
    <row r="39" spans="1:3" x14ac:dyDescent="0.25">
      <c r="A39" t="s">
        <v>168</v>
      </c>
      <c r="C39">
        <f>F29</f>
        <v>16.666666666666668</v>
      </c>
    </row>
    <row r="41" spans="1:3" x14ac:dyDescent="0.25">
      <c r="A4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Sharma</dc:creator>
  <cp:lastModifiedBy>Shubham Sharma</cp:lastModifiedBy>
  <dcterms:created xsi:type="dcterms:W3CDTF">2026-01-06T14:17:06Z</dcterms:created>
  <dcterms:modified xsi:type="dcterms:W3CDTF">2026-01-07T14:55:44Z</dcterms:modified>
</cp:coreProperties>
</file>