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W Skills\Excel\Assignment 1\"/>
    </mc:Choice>
  </mc:AlternateContent>
  <xr:revisionPtr revIDLastSave="0" documentId="13_ncr:1_{081F3CAD-EC4F-464D-B3C1-5C997ECE5F32}" xr6:coauthVersionLast="47" xr6:coauthVersionMax="47" xr10:uidLastSave="{00000000-0000-0000-0000-000000000000}"/>
  <bookViews>
    <workbookView xWindow="-110" yWindow="-110" windowWidth="19420" windowHeight="10300" xr2:uid="{214B8C21-6528-4CF2-BFF4-0E255AF79DC5}"/>
  </bookViews>
  <sheets>
    <sheet name="Q-1" sheetId="1" r:id="rId1"/>
    <sheet name="Q-2" sheetId="2" r:id="rId2"/>
    <sheet name="Q-3" sheetId="3" r:id="rId3"/>
    <sheet name="Q-4" sheetId="4" r:id="rId4"/>
    <sheet name="Q-5" sheetId="5" r:id="rId5"/>
    <sheet name="Q-6" sheetId="6" r:id="rId6"/>
    <sheet name="Q-7" sheetId="7" r:id="rId7"/>
    <sheet name="Q-8" sheetId="10" r:id="rId8"/>
  </sheets>
  <definedNames>
    <definedName name="_xlnm._FilterDatabase" localSheetId="5" hidden="1">'Q-6'!$A$3:$K$53</definedName>
  </definedNames>
  <calcPr calcId="181029"/>
  <pivotCaches>
    <pivotCache cacheId="1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0" l="1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K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4" i="6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4" i="5"/>
  <c r="J4" i="4"/>
  <c r="A9" i="3"/>
  <c r="A9" i="2"/>
</calcChain>
</file>

<file path=xl/sharedStrings.xml><?xml version="1.0" encoding="utf-8"?>
<sst xmlns="http://schemas.openxmlformats.org/spreadsheetml/2006/main" count="837" uniqueCount="100">
  <si>
    <t>1. Explain the difference between Relative , Absolute and Mixed Cell Referencing. </t>
  </si>
  <si>
    <t>Ans.</t>
  </si>
  <si>
    <t>1. Relative Cell Reference (e.g., A1)</t>
  </si>
  <si>
    <t>It Changes automatically when we copy or move the formula to another cell.</t>
  </si>
  <si>
    <t>If cell B1 contains =A1 and we copy it to B2, it becomes =A2.</t>
  </si>
  <si>
    <t>2. Absolute Cell Reference (e.g., $A$1)</t>
  </si>
  <si>
    <t>It does NOT change when the formula is copied or moved.</t>
  </si>
  <si>
    <t>The dollar signs ($) lock both the column and the row.</t>
  </si>
  <si>
    <t>Example:</t>
  </si>
  <si>
    <t>If cell B1 contains =$A$1, copying it to B2 keeps it as =$A$1.</t>
  </si>
  <si>
    <t>3. Mixed Cell Reference (e.g., $A1 or A$1)</t>
  </si>
  <si>
    <t>It locks either the column OR the row, but not both.</t>
  </si>
  <si>
    <t>$A1 → Column A is fixed, row changes.</t>
  </si>
  <si>
    <t>A$1 → Row 1 is fixed, column changes.</t>
  </si>
  <si>
    <t>If B1 contains =$A1 and you copy it down to B2, it becomes =$A2.</t>
  </si>
  <si>
    <t>If B1 contains =A$1 and you copy it to C1, it becomes =B$1.</t>
  </si>
  <si>
    <t>Price</t>
  </si>
  <si>
    <t>Vehicle</t>
  </si>
  <si>
    <t>Car</t>
  </si>
  <si>
    <t>Bicycle</t>
  </si>
  <si>
    <t>Auto-Rickshaw</t>
  </si>
  <si>
    <t>2. Write a formula to calculate the total sales of Car and Bicyle only.</t>
  </si>
  <si>
    <t>3. Using the data below, write a formula to calculate the average sales of items priced above 100 but less than 300</t>
  </si>
  <si>
    <t>Item A</t>
  </si>
  <si>
    <t>Item B</t>
  </si>
  <si>
    <t>Item C</t>
  </si>
  <si>
    <t>Item</t>
  </si>
  <si>
    <t>Sales</t>
  </si>
  <si>
    <t>4. Count how many customer names are recorded.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</si>
  <si>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</si>
  <si>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</si>
  <si>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</si>
  <si>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</si>
  <si>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</si>
  <si>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</si>
  <si>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</si>
  <si>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</si>
  <si>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</si>
  <si>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</si>
  <si>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</si>
  <si>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</si>
  <si>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</si>
  <si>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</si>
  <si>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</si>
  <si>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</si>
  <si>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</si>
  <si>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</si>
  <si>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</si>
  <si>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</si>
  <si>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</si>
  <si>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</si>
  <si>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</si>
  <si>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</si>
  <si>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</si>
  <si>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</si>
  <si>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</si>
  <si>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</si>
  <si>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</si>
  <si>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</si>
  <si>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</si>
  <si>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</si>
  <si>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</si>
  <si>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</si>
  <si>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</si>
  <si>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</si>
  <si>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</si>
  <si>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</si>
  <si>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</si>
  <si>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</si>
  <si>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</si>
  <si>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</si>
  <si>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</si>
  <si>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</si>
  <si>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</si>
  <si>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</si>
  <si>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</si>
  <si>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</si>
  <si>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</si>
  <si>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</si>
  <si>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</si>
  <si>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</si>
  <si>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</si>
  <si>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</si>
  <si>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</si>
  <si>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</si>
  <si>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</si>
  <si>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</si>
  <si>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</si>
  <si>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</si>
  <si>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</si>
  <si>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</si>
  <si>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</si>
  <si>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</si>
  <si>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</si>
  <si>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</si>
  <si>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5. Calculate the Total Sales for each row using a formula.</t>
  </si>
  <si>
    <t>6. Calculate the total sales of Notebooks in the North region only.</t>
  </si>
  <si>
    <t>7. Create a column chart showing total sales by product.</t>
  </si>
  <si>
    <t>Sum of Sales</t>
  </si>
  <si>
    <t>8.Insert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</si>
</sst>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0" fillId="0" borderId="0" xfId="0" applyFill="1" applyBorder="1" applyAlignment="1">
      <alignment horizontal="left"/>
    </xf>
    <xf numFmtId="0" fontId="0" fillId="5" borderId="0" xfId="0" applyFill="1"/>
    <xf numFmtId="0" fontId="0" fillId="3" borderId="0" xfId="0" applyFill="1"/>
    <xf numFmtId="14" fontId="0" fillId="0" borderId="1" xfId="0" applyNumberFormat="1" applyBorder="1"/>
    <xf numFmtId="0" fontId="0" fillId="5" borderId="0" xfId="0" applyFill="1" applyAlignment="1">
      <alignment horizontal="center"/>
    </xf>
    <xf numFmtId="0" fontId="0" fillId="0" borderId="2" xfId="0" applyFill="1" applyBorder="1"/>
    <xf numFmtId="0" fontId="0" fillId="0" borderId="1" xfId="0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Basics.xlsx]Q-7!PivotTable10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'Q-7'!$K$3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'Q-7'!$J$4:$J$8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'Q-7'!$K$4:$K$8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4-4182-8D34-50C570BB3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7389072"/>
        <c:axId val="717381872"/>
      </c:barChart>
      <c:catAx>
        <c:axId val="7173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81872"/>
        <c:crosses val="autoZero"/>
        <c:auto val="1"/>
        <c:lblAlgn val="ctr"/>
        <c:lblOffset val="100"/>
        <c:noMultiLvlLbl val="0"/>
      </c:catAx>
      <c:valAx>
        <c:axId val="7173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8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'Q-8'!$H$3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'Q-8'!$G$4:$G$53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'Q-8'!$H$4:$H$53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2-424E-BF1A-0D9A370FF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050880"/>
        <c:axId val="654056160"/>
      </c:lineChart>
      <c:dateAx>
        <c:axId val="654050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56160"/>
        <c:crosses val="autoZero"/>
        <c:auto val="1"/>
        <c:lblOffset val="100"/>
        <c:baseTimeUnit val="days"/>
      </c:dateAx>
      <c:valAx>
        <c:axId val="6540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8</xdr:row>
      <xdr:rowOff>12700</xdr:rowOff>
    </xdr:from>
    <xdr:to>
      <xdr:col>15</xdr:col>
      <xdr:colOff>400050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91499-C066-4678-A890-7A479A953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79375</xdr:colOff>
      <xdr:row>3</xdr:row>
      <xdr:rowOff>88900</xdr:rowOff>
    </xdr:from>
    <xdr:to>
      <xdr:col>15</xdr:col>
      <xdr:colOff>384175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353D9-1170-1C7E-D6CF-D022ED18C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sharma" refreshedDate="45994.966403819446" createdVersion="8" refreshedVersion="8" minRefreshableVersion="3" recordCount="50" xr:uid="{01C2C3BD-1D91-45CA-93C9-3E887BEB22B4}">
  <cacheSource type="worksheet">
    <worksheetSource ref="A3:H53" sheet="Q-7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/>
    </cacheField>
    <cacheField name="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1-05T00:00:00"/>
    <n v="500"/>
  </r>
  <r>
    <n v="1002"/>
    <s v="Neha Verma"/>
    <s v="South"/>
    <x v="1"/>
    <n v="20"/>
    <n v="10"/>
    <d v="2024-01-06T00:00:00"/>
    <n v="200"/>
  </r>
  <r>
    <n v="1003"/>
    <s v="Rahul Singh"/>
    <s v="East"/>
    <x v="2"/>
    <n v="15"/>
    <n v="25"/>
    <d v="2024-01-07T00:00:00"/>
    <n v="375"/>
  </r>
  <r>
    <n v="1004"/>
    <s v="Pooja Mehta"/>
    <s v="West"/>
    <x v="0"/>
    <n v="5"/>
    <n v="50"/>
    <d v="2024-01-08T00:00:00"/>
    <n v="250"/>
  </r>
  <r>
    <n v="1005"/>
    <s v="Ankit Jain"/>
    <s v="North"/>
    <x v="3"/>
    <n v="30"/>
    <n v="5"/>
    <d v="2024-01-10T00:00:00"/>
    <n v="150"/>
  </r>
  <r>
    <n v="1006"/>
    <s v="Sneha Patel"/>
    <s v="South"/>
    <x v="0"/>
    <n v="12"/>
    <n v="50"/>
    <d v="2024-01-11T00:00:00"/>
    <n v="600"/>
  </r>
  <r>
    <n v="1007"/>
    <s v="Vikas Gupta"/>
    <s v="East"/>
    <x v="4"/>
    <n v="25"/>
    <n v="8"/>
    <d v="2024-01-13T00:00:00"/>
    <n v="200"/>
  </r>
  <r>
    <n v="1008"/>
    <s v="Meera Nair"/>
    <s v="West"/>
    <x v="1"/>
    <n v="18"/>
    <n v="10"/>
    <d v="2024-01-15T00:00:00"/>
    <n v="180"/>
  </r>
  <r>
    <n v="1009"/>
    <s v="Anjali Rao"/>
    <s v="North"/>
    <x v="2"/>
    <n v="22"/>
    <n v="25"/>
    <d v="2024-01-17T00:00:00"/>
    <n v="550"/>
  </r>
  <r>
    <n v="1010"/>
    <s v="Manoj Das"/>
    <s v="South"/>
    <x v="0"/>
    <n v="8"/>
    <n v="50"/>
    <d v="2024-01-18T00:00:00"/>
    <n v="400"/>
  </r>
  <r>
    <n v="1011"/>
    <s v="Ritika Sen"/>
    <s v="East"/>
    <x v="3"/>
    <n v="40"/>
    <n v="5"/>
    <d v="2024-01-19T00:00:00"/>
    <n v="200"/>
  </r>
  <r>
    <n v="1012"/>
    <s v="Karan Malhotra"/>
    <s v="West"/>
    <x v="4"/>
    <n v="35"/>
    <n v="8"/>
    <d v="2024-01-20T00:00:00"/>
    <n v="280"/>
  </r>
  <r>
    <n v="1013"/>
    <s v="Aryan Joshi"/>
    <s v="North"/>
    <x v="0"/>
    <n v="14"/>
    <n v="50"/>
    <d v="2024-01-22T00:00:00"/>
    <n v="700"/>
  </r>
  <r>
    <n v="1014"/>
    <s v="Divya Kapoor"/>
    <s v="South"/>
    <x v="1"/>
    <n v="28"/>
    <n v="10"/>
    <d v="2024-01-23T00:00:00"/>
    <n v="280"/>
  </r>
  <r>
    <n v="1015"/>
    <s v="Sahil Arora"/>
    <s v="East"/>
    <x v="2"/>
    <n v="12"/>
    <n v="25"/>
    <d v="2024-01-24T00:00:00"/>
    <n v="300"/>
  </r>
  <r>
    <n v="1016"/>
    <s v="Muskan Jain"/>
    <s v="West"/>
    <x v="3"/>
    <n v="25"/>
    <n v="5"/>
    <d v="2024-01-26T00:00:00"/>
    <n v="125"/>
  </r>
  <r>
    <n v="1017"/>
    <s v="Rohan Gupta"/>
    <s v="North"/>
    <x v="4"/>
    <n v="20"/>
    <n v="8"/>
    <d v="2024-01-28T00:00:00"/>
    <n v="160"/>
  </r>
  <r>
    <n v="1018"/>
    <s v="Nidhi Sharma"/>
    <s v="South"/>
    <x v="0"/>
    <n v="10"/>
    <n v="50"/>
    <d v="2024-01-29T00:00:00"/>
    <n v="500"/>
  </r>
  <r>
    <n v="1019"/>
    <s v="Tarun Verma"/>
    <s v="East"/>
    <x v="1"/>
    <n v="15"/>
    <n v="10"/>
    <d v="2024-01-30T00:00:00"/>
    <n v="150"/>
  </r>
  <r>
    <n v="1020"/>
    <s v="Simran Kaur"/>
    <s v="West"/>
    <x v="2"/>
    <n v="18"/>
    <n v="25"/>
    <d v="2024-02-01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2-03T00:00:00"/>
    <n v="175"/>
  </r>
  <r>
    <n v="1023"/>
    <s v="Aditya Singh"/>
    <s v="East"/>
    <x v="4"/>
    <n v="30"/>
    <n v="8"/>
    <d v="2024-02-04T00:00:00"/>
    <n v="240"/>
  </r>
  <r>
    <n v="1024"/>
    <s v="Shreya Nair"/>
    <s v="West"/>
    <x v="0"/>
    <n v="11"/>
    <n v="50"/>
    <d v="2024-02-06T00:00:00"/>
    <n v="550"/>
  </r>
  <r>
    <n v="1025"/>
    <s v="Sanjay Kumar"/>
    <s v="North"/>
    <x v="1"/>
    <n v="14"/>
    <n v="10"/>
    <d v="2024-02-07T00:00:00"/>
    <n v="140"/>
  </r>
  <r>
    <n v="1026"/>
    <s v="Aarti Sharma"/>
    <s v="South"/>
    <x v="2"/>
    <n v="16"/>
    <n v="25"/>
    <d v="2024-02-08T00:00:00"/>
    <n v="400"/>
  </r>
  <r>
    <n v="1027"/>
    <s v="Rajesh Patel"/>
    <s v="East"/>
    <x v="3"/>
    <n v="22"/>
    <n v="5"/>
    <d v="2024-02-09T00:00:00"/>
    <n v="110"/>
  </r>
  <r>
    <n v="1028"/>
    <s v="Preeti Joshi"/>
    <s v="West"/>
    <x v="4"/>
    <n v="27"/>
    <n v="8"/>
    <d v="2024-02-10T00:00:00"/>
    <n v="216"/>
  </r>
  <r>
    <n v="1029"/>
    <s v="Anurag Mishra"/>
    <s v="North"/>
    <x v="0"/>
    <n v="13"/>
    <n v="50"/>
    <d v="2024-02-12T00:00:00"/>
    <n v="650"/>
  </r>
  <r>
    <n v="1030"/>
    <s v="Sanya Kapoor"/>
    <s v="South"/>
    <x v="1"/>
    <n v="32"/>
    <n v="10"/>
    <d v="2024-02-13T00:00:00"/>
    <n v="320"/>
  </r>
  <r>
    <n v="1031"/>
    <s v="Harsh Yadav"/>
    <s v="East"/>
    <x v="2"/>
    <n v="10"/>
    <n v="25"/>
    <d v="2024-02-14T00:00:00"/>
    <n v="250"/>
  </r>
  <r>
    <n v="1032"/>
    <s v="Kajal Rani"/>
    <s v="West"/>
    <x v="3"/>
    <n v="18"/>
    <n v="5"/>
    <d v="2024-02-16T00:00:00"/>
    <n v="90"/>
  </r>
  <r>
    <n v="1033"/>
    <s v="Varun Sharma"/>
    <s v="North"/>
    <x v="4"/>
    <n v="22"/>
    <n v="8"/>
    <d v="2024-02-17T00:00:00"/>
    <n v="176"/>
  </r>
  <r>
    <n v="1034"/>
    <s v="Swati Arora"/>
    <s v="South"/>
    <x v="0"/>
    <n v="17"/>
    <n v="50"/>
    <d v="2024-02-18T00:00:00"/>
    <n v="850"/>
  </r>
  <r>
    <n v="1035"/>
    <s v="Akhil Jain"/>
    <s v="East"/>
    <x v="1"/>
    <n v="19"/>
    <n v="10"/>
    <d v="2024-02-19T00:00:00"/>
    <n v="190"/>
  </r>
  <r>
    <n v="1036"/>
    <s v="Priyanka Das"/>
    <s v="West"/>
    <x v="2"/>
    <n v="15"/>
    <n v="25"/>
    <d v="2024-02-21T00:00:00"/>
    <n v="375"/>
  </r>
  <r>
    <n v="1037"/>
    <s v="Ravi Nair"/>
    <s v="North"/>
    <x v="3"/>
    <n v="28"/>
    <n v="5"/>
    <d v="2024-02-22T00:00:00"/>
    <n v="140"/>
  </r>
  <r>
    <n v="1038"/>
    <s v="Komal Singh"/>
    <s v="South"/>
    <x v="4"/>
    <n v="24"/>
    <n v="8"/>
    <d v="2024-02-23T00:00:00"/>
    <n v="192"/>
  </r>
  <r>
    <n v="1039"/>
    <s v="Ayesha Khan"/>
    <s v="East"/>
    <x v="0"/>
    <n v="16"/>
    <n v="50"/>
    <d v="2024-02-25T00:00:00"/>
    <n v="800"/>
  </r>
  <r>
    <n v="1040"/>
    <s v="Arjun Mehta"/>
    <s v="West"/>
    <x v="1"/>
    <n v="27"/>
    <n v="10"/>
    <d v="2024-02-26T00:00:00"/>
    <n v="270"/>
  </r>
  <r>
    <n v="1041"/>
    <s v="Sonali Gupta"/>
    <s v="North"/>
    <x v="2"/>
    <n v="21"/>
    <n v="25"/>
    <d v="2024-02-27T00:00:00"/>
    <n v="525"/>
  </r>
  <r>
    <n v="1042"/>
    <s v="Neeraj Kapoor"/>
    <s v="South"/>
    <x v="3"/>
    <n v="30"/>
    <n v="5"/>
    <d v="2024-02-28T00:00:00"/>
    <n v="150"/>
  </r>
  <r>
    <n v="1043"/>
    <s v="Shruti Sharma"/>
    <s v="East"/>
    <x v="4"/>
    <n v="26"/>
    <n v="8"/>
    <d v="2024-03-01T00:00:00"/>
    <n v="208"/>
  </r>
  <r>
    <n v="1044"/>
    <s v="Yash Arora"/>
    <s v="West"/>
    <x v="0"/>
    <n v="14"/>
    <n v="50"/>
    <d v="2024-03-02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3-04T00:00:00"/>
    <n v="425"/>
  </r>
  <r>
    <n v="1047"/>
    <s v="Sonia Verma"/>
    <s v="East"/>
    <x v="3"/>
    <n v="19"/>
    <n v="5"/>
    <d v="2024-03-05T00:00:00"/>
    <n v="95"/>
  </r>
  <r>
    <n v="1048"/>
    <s v="Kunal Singh"/>
    <s v="West"/>
    <x v="4"/>
    <n v="32"/>
    <n v="8"/>
    <d v="2024-03-06T00:00:00"/>
    <n v="256"/>
  </r>
  <r>
    <n v="1049"/>
    <s v="Ritika Jain"/>
    <s v="North"/>
    <x v="0"/>
    <n v="12"/>
    <n v="50"/>
    <d v="2024-03-07T00:00:00"/>
    <n v="600"/>
  </r>
  <r>
    <n v="1050"/>
    <s v="Vivek Malhotra"/>
    <s v="South"/>
    <x v="1"/>
    <n v="25"/>
    <n v="10"/>
    <d v="2024-03-08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C7322-1415-4FC8-9ED3-8043D02644A1}" name="PivotTable10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J3:K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F4D8-B14C-486F-B2C9-E8DF7D60D544}">
  <dimension ref="A1:A24"/>
  <sheetViews>
    <sheetView showGridLines="0" tabSelected="1" workbookViewId="0"/>
  </sheetViews>
  <sheetFormatPr defaultRowHeight="14.5" x14ac:dyDescent="0.35"/>
  <sheetData>
    <row r="1" spans="1:1" s="2" customFormat="1" x14ac:dyDescent="0.35">
      <c r="A1" s="2" t="s">
        <v>0</v>
      </c>
    </row>
    <row r="3" spans="1:1" x14ac:dyDescent="0.35">
      <c r="A3" t="s">
        <v>1</v>
      </c>
    </row>
    <row r="4" spans="1:1" x14ac:dyDescent="0.35">
      <c r="A4" s="1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9" spans="1:1" x14ac:dyDescent="0.35">
      <c r="A9" s="1" t="s">
        <v>5</v>
      </c>
    </row>
    <row r="11" spans="1:1" x14ac:dyDescent="0.35">
      <c r="A11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6" spans="1:1" x14ac:dyDescent="0.35">
      <c r="A16" s="1" t="s">
        <v>10</v>
      </c>
    </row>
    <row r="18" spans="1:1" x14ac:dyDescent="0.35">
      <c r="A18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2" spans="1:1" x14ac:dyDescent="0.35">
      <c r="A22" t="s">
        <v>8</v>
      </c>
    </row>
    <row r="23" spans="1:1" x14ac:dyDescent="0.35">
      <c r="A23" t="s">
        <v>14</v>
      </c>
    </row>
    <row r="24" spans="1:1" x14ac:dyDescent="0.35">
      <c r="A24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6A7C-EDAA-4793-BC62-FA878A0CEA47}">
  <dimension ref="A1:B9"/>
  <sheetViews>
    <sheetView showGridLines="0" workbookViewId="0">
      <selection activeCell="A9" sqref="A9"/>
    </sheetView>
  </sheetViews>
  <sheetFormatPr defaultRowHeight="14.5" x14ac:dyDescent="0.35"/>
  <cols>
    <col min="1" max="1" width="13.1796875" bestFit="1" customWidth="1"/>
  </cols>
  <sheetData>
    <row r="1" spans="1:2" s="2" customFormat="1" x14ac:dyDescent="0.35">
      <c r="A1" s="2" t="s">
        <v>21</v>
      </c>
    </row>
    <row r="3" spans="1:2" x14ac:dyDescent="0.35">
      <c r="A3" s="4" t="s">
        <v>17</v>
      </c>
      <c r="B3" s="4" t="s">
        <v>16</v>
      </c>
    </row>
    <row r="4" spans="1:2" x14ac:dyDescent="0.35">
      <c r="A4" s="3" t="s">
        <v>18</v>
      </c>
      <c r="B4" s="3">
        <v>500000</v>
      </c>
    </row>
    <row r="5" spans="1:2" x14ac:dyDescent="0.35">
      <c r="A5" s="3" t="s">
        <v>19</v>
      </c>
      <c r="B5" s="3">
        <v>10500</v>
      </c>
    </row>
    <row r="6" spans="1:2" x14ac:dyDescent="0.35">
      <c r="A6" s="3" t="s">
        <v>20</v>
      </c>
      <c r="B6" s="3">
        <v>25000</v>
      </c>
    </row>
    <row r="8" spans="1:2" x14ac:dyDescent="0.35">
      <c r="A8" t="s">
        <v>1</v>
      </c>
    </row>
    <row r="9" spans="1:2" x14ac:dyDescent="0.35">
      <c r="A9" s="9">
        <f>SUMIF(A4:A6,"Car",B4:B6)+SUMIF(A4:A6,"Bicycle",B4:B6)</f>
        <v>510500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9553-66F2-4CFC-B223-FD009FC0F7CA}">
  <dimension ref="A1:C9"/>
  <sheetViews>
    <sheetView showGridLines="0" workbookViewId="0">
      <selection activeCell="A9" sqref="A9"/>
    </sheetView>
  </sheetViews>
  <sheetFormatPr defaultRowHeight="14.5" x14ac:dyDescent="0.35"/>
  <sheetData>
    <row r="1" spans="1:3" s="7" customFormat="1" x14ac:dyDescent="0.35">
      <c r="A1" s="7" t="s">
        <v>22</v>
      </c>
    </row>
    <row r="3" spans="1:3" x14ac:dyDescent="0.35">
      <c r="A3" s="6" t="s">
        <v>26</v>
      </c>
      <c r="B3" s="6" t="s">
        <v>16</v>
      </c>
      <c r="C3" s="6" t="s">
        <v>27</v>
      </c>
    </row>
    <row r="4" spans="1:3" x14ac:dyDescent="0.35">
      <c r="A4" s="5" t="s">
        <v>23</v>
      </c>
      <c r="B4" s="5">
        <v>90</v>
      </c>
      <c r="C4" s="5">
        <v>1000</v>
      </c>
    </row>
    <row r="5" spans="1:3" x14ac:dyDescent="0.35">
      <c r="A5" s="5" t="s">
        <v>24</v>
      </c>
      <c r="B5" s="5">
        <v>150</v>
      </c>
      <c r="C5" s="5">
        <v>1200</v>
      </c>
    </row>
    <row r="6" spans="1:3" x14ac:dyDescent="0.35">
      <c r="A6" s="5" t="s">
        <v>25</v>
      </c>
      <c r="B6" s="5">
        <v>250</v>
      </c>
      <c r="C6" s="5">
        <v>1500</v>
      </c>
    </row>
    <row r="8" spans="1:3" x14ac:dyDescent="0.35">
      <c r="A8" s="8" t="s">
        <v>1</v>
      </c>
    </row>
    <row r="9" spans="1:3" x14ac:dyDescent="0.35">
      <c r="A9" s="9">
        <f>AVERAGEIFS(C4:C6,B4:B6,"&gt;100",B4:B6,"&lt;300")</f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5192-2C1A-4CE9-9775-D6D7569EF634}">
  <dimension ref="A1:J53"/>
  <sheetViews>
    <sheetView showGridLines="0" workbookViewId="0">
      <selection activeCell="A3" sqref="A3:G53"/>
    </sheetView>
  </sheetViews>
  <sheetFormatPr defaultRowHeight="14.5" x14ac:dyDescent="0.35"/>
  <cols>
    <col min="1" max="1" width="7.54296875" bestFit="1" customWidth="1"/>
    <col min="2" max="2" width="13.90625" bestFit="1" customWidth="1"/>
    <col min="3" max="3" width="6.453125" bestFit="1" customWidth="1"/>
    <col min="4" max="4" width="9" bestFit="1" customWidth="1"/>
    <col min="5" max="5" width="8" bestFit="1" customWidth="1"/>
    <col min="6" max="6" width="8.26953125" bestFit="1" customWidth="1"/>
    <col min="7" max="7" width="10.08984375" bestFit="1" customWidth="1"/>
  </cols>
  <sheetData>
    <row r="1" spans="1:10" s="10" customFormat="1" x14ac:dyDescent="0.35">
      <c r="A1" s="10" t="s">
        <v>28</v>
      </c>
    </row>
    <row r="3" spans="1:10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I3" t="s">
        <v>1</v>
      </c>
    </row>
    <row r="4" spans="1:10" x14ac:dyDescent="0.35">
      <c r="A4" s="3">
        <v>1001</v>
      </c>
      <c r="B4" s="3" t="s">
        <v>36</v>
      </c>
      <c r="C4" s="3" t="s">
        <v>37</v>
      </c>
      <c r="D4" s="3" t="s">
        <v>38</v>
      </c>
      <c r="E4" s="3">
        <v>10</v>
      </c>
      <c r="F4" s="3">
        <v>50</v>
      </c>
      <c r="G4" s="11">
        <v>45296</v>
      </c>
      <c r="J4" s="9">
        <f>COUNTA(B4:B53)</f>
        <v>50</v>
      </c>
    </row>
    <row r="5" spans="1:10" x14ac:dyDescent="0.35">
      <c r="A5" s="3">
        <v>1002</v>
      </c>
      <c r="B5" s="3" t="s">
        <v>39</v>
      </c>
      <c r="C5" s="3" t="s">
        <v>40</v>
      </c>
      <c r="D5" s="3" t="s">
        <v>41</v>
      </c>
      <c r="E5" s="3">
        <v>20</v>
      </c>
      <c r="F5" s="3">
        <v>10</v>
      </c>
      <c r="G5" s="11">
        <v>45297</v>
      </c>
    </row>
    <row r="6" spans="1:10" x14ac:dyDescent="0.35">
      <c r="A6" s="3">
        <v>1003</v>
      </c>
      <c r="B6" s="3" t="s">
        <v>42</v>
      </c>
      <c r="C6" s="3" t="s">
        <v>43</v>
      </c>
      <c r="D6" s="3" t="s">
        <v>44</v>
      </c>
      <c r="E6" s="3">
        <v>15</v>
      </c>
      <c r="F6" s="3">
        <v>25</v>
      </c>
      <c r="G6" s="11">
        <v>45298</v>
      </c>
    </row>
    <row r="7" spans="1:10" x14ac:dyDescent="0.35">
      <c r="A7" s="3">
        <v>1004</v>
      </c>
      <c r="B7" s="3" t="s">
        <v>45</v>
      </c>
      <c r="C7" s="3" t="s">
        <v>46</v>
      </c>
      <c r="D7" s="3" t="s">
        <v>38</v>
      </c>
      <c r="E7" s="3">
        <v>5</v>
      </c>
      <c r="F7" s="3">
        <v>50</v>
      </c>
      <c r="G7" s="11">
        <v>45299</v>
      </c>
    </row>
    <row r="8" spans="1:10" x14ac:dyDescent="0.35">
      <c r="A8" s="3">
        <v>1005</v>
      </c>
      <c r="B8" s="3" t="s">
        <v>47</v>
      </c>
      <c r="C8" s="3" t="s">
        <v>37</v>
      </c>
      <c r="D8" s="3" t="s">
        <v>48</v>
      </c>
      <c r="E8" s="3">
        <v>30</v>
      </c>
      <c r="F8" s="3">
        <v>5</v>
      </c>
      <c r="G8" s="11">
        <v>45301</v>
      </c>
    </row>
    <row r="9" spans="1:10" x14ac:dyDescent="0.35">
      <c r="A9" s="3">
        <v>1006</v>
      </c>
      <c r="B9" s="3" t="s">
        <v>49</v>
      </c>
      <c r="C9" s="3" t="s">
        <v>40</v>
      </c>
      <c r="D9" s="3" t="s">
        <v>38</v>
      </c>
      <c r="E9" s="3">
        <v>12</v>
      </c>
      <c r="F9" s="3">
        <v>50</v>
      </c>
      <c r="G9" s="11">
        <v>45302</v>
      </c>
    </row>
    <row r="10" spans="1:10" x14ac:dyDescent="0.35">
      <c r="A10" s="3">
        <v>1007</v>
      </c>
      <c r="B10" s="3" t="s">
        <v>50</v>
      </c>
      <c r="C10" s="3" t="s">
        <v>43</v>
      </c>
      <c r="D10" s="3" t="s">
        <v>51</v>
      </c>
      <c r="E10" s="3">
        <v>25</v>
      </c>
      <c r="F10" s="3">
        <v>8</v>
      </c>
      <c r="G10" s="11">
        <v>45304</v>
      </c>
    </row>
    <row r="11" spans="1:10" x14ac:dyDescent="0.35">
      <c r="A11" s="3">
        <v>1008</v>
      </c>
      <c r="B11" s="3" t="s">
        <v>52</v>
      </c>
      <c r="C11" s="3" t="s">
        <v>46</v>
      </c>
      <c r="D11" s="3" t="s">
        <v>41</v>
      </c>
      <c r="E11" s="3">
        <v>18</v>
      </c>
      <c r="F11" s="3">
        <v>10</v>
      </c>
      <c r="G11" s="11">
        <v>45306</v>
      </c>
    </row>
    <row r="12" spans="1:10" x14ac:dyDescent="0.35">
      <c r="A12" s="3">
        <v>1009</v>
      </c>
      <c r="B12" s="3" t="s">
        <v>53</v>
      </c>
      <c r="C12" s="3" t="s">
        <v>37</v>
      </c>
      <c r="D12" s="3" t="s">
        <v>44</v>
      </c>
      <c r="E12" s="3">
        <v>22</v>
      </c>
      <c r="F12" s="3">
        <v>25</v>
      </c>
      <c r="G12" s="11">
        <v>45308</v>
      </c>
    </row>
    <row r="13" spans="1:10" x14ac:dyDescent="0.35">
      <c r="A13" s="3">
        <v>1010</v>
      </c>
      <c r="B13" s="3" t="s">
        <v>54</v>
      </c>
      <c r="C13" s="3" t="s">
        <v>40</v>
      </c>
      <c r="D13" s="3" t="s">
        <v>38</v>
      </c>
      <c r="E13" s="3">
        <v>8</v>
      </c>
      <c r="F13" s="3">
        <v>50</v>
      </c>
      <c r="G13" s="11">
        <v>45309</v>
      </c>
    </row>
    <row r="14" spans="1:10" x14ac:dyDescent="0.35">
      <c r="A14" s="3">
        <v>1011</v>
      </c>
      <c r="B14" s="3" t="s">
        <v>55</v>
      </c>
      <c r="C14" s="3" t="s">
        <v>43</v>
      </c>
      <c r="D14" s="3" t="s">
        <v>48</v>
      </c>
      <c r="E14" s="3">
        <v>40</v>
      </c>
      <c r="F14" s="3">
        <v>5</v>
      </c>
      <c r="G14" s="11">
        <v>45310</v>
      </c>
    </row>
    <row r="15" spans="1:10" x14ac:dyDescent="0.35">
      <c r="A15" s="3">
        <v>1012</v>
      </c>
      <c r="B15" s="3" t="s">
        <v>56</v>
      </c>
      <c r="C15" s="3" t="s">
        <v>46</v>
      </c>
      <c r="D15" s="3" t="s">
        <v>51</v>
      </c>
      <c r="E15" s="3">
        <v>35</v>
      </c>
      <c r="F15" s="3">
        <v>8</v>
      </c>
      <c r="G15" s="11">
        <v>45311</v>
      </c>
    </row>
    <row r="16" spans="1:10" x14ac:dyDescent="0.35">
      <c r="A16" s="3">
        <v>1013</v>
      </c>
      <c r="B16" s="3" t="s">
        <v>57</v>
      </c>
      <c r="C16" s="3" t="s">
        <v>37</v>
      </c>
      <c r="D16" s="3" t="s">
        <v>38</v>
      </c>
      <c r="E16" s="3">
        <v>14</v>
      </c>
      <c r="F16" s="3">
        <v>50</v>
      </c>
      <c r="G16" s="11">
        <v>45313</v>
      </c>
    </row>
    <row r="17" spans="1:7" x14ac:dyDescent="0.35">
      <c r="A17" s="3">
        <v>1014</v>
      </c>
      <c r="B17" s="3" t="s">
        <v>58</v>
      </c>
      <c r="C17" s="3" t="s">
        <v>40</v>
      </c>
      <c r="D17" s="3" t="s">
        <v>41</v>
      </c>
      <c r="E17" s="3">
        <v>28</v>
      </c>
      <c r="F17" s="3">
        <v>10</v>
      </c>
      <c r="G17" s="11">
        <v>45314</v>
      </c>
    </row>
    <row r="18" spans="1:7" x14ac:dyDescent="0.35">
      <c r="A18" s="3">
        <v>1015</v>
      </c>
      <c r="B18" s="3" t="s">
        <v>59</v>
      </c>
      <c r="C18" s="3" t="s">
        <v>43</v>
      </c>
      <c r="D18" s="3" t="s">
        <v>44</v>
      </c>
      <c r="E18" s="3">
        <v>12</v>
      </c>
      <c r="F18" s="3">
        <v>25</v>
      </c>
      <c r="G18" s="11">
        <v>45315</v>
      </c>
    </row>
    <row r="19" spans="1:7" x14ac:dyDescent="0.35">
      <c r="A19" s="3">
        <v>1016</v>
      </c>
      <c r="B19" s="3" t="s">
        <v>60</v>
      </c>
      <c r="C19" s="3" t="s">
        <v>46</v>
      </c>
      <c r="D19" s="3" t="s">
        <v>48</v>
      </c>
      <c r="E19" s="3">
        <v>25</v>
      </c>
      <c r="F19" s="3">
        <v>5</v>
      </c>
      <c r="G19" s="11">
        <v>45317</v>
      </c>
    </row>
    <row r="20" spans="1:7" x14ac:dyDescent="0.35">
      <c r="A20" s="3">
        <v>1017</v>
      </c>
      <c r="B20" s="3" t="s">
        <v>61</v>
      </c>
      <c r="C20" s="3" t="s">
        <v>37</v>
      </c>
      <c r="D20" s="3" t="s">
        <v>51</v>
      </c>
      <c r="E20" s="3">
        <v>20</v>
      </c>
      <c r="F20" s="3">
        <v>8</v>
      </c>
      <c r="G20" s="11">
        <v>45319</v>
      </c>
    </row>
    <row r="21" spans="1:7" x14ac:dyDescent="0.35">
      <c r="A21" s="3">
        <v>1018</v>
      </c>
      <c r="B21" s="3" t="s">
        <v>62</v>
      </c>
      <c r="C21" s="3" t="s">
        <v>40</v>
      </c>
      <c r="D21" s="3" t="s">
        <v>38</v>
      </c>
      <c r="E21" s="3">
        <v>10</v>
      </c>
      <c r="F21" s="3">
        <v>50</v>
      </c>
      <c r="G21" s="11">
        <v>45320</v>
      </c>
    </row>
    <row r="22" spans="1:7" x14ac:dyDescent="0.35">
      <c r="A22" s="3">
        <v>1019</v>
      </c>
      <c r="B22" s="3" t="s">
        <v>63</v>
      </c>
      <c r="C22" s="3" t="s">
        <v>43</v>
      </c>
      <c r="D22" s="3" t="s">
        <v>41</v>
      </c>
      <c r="E22" s="3">
        <v>15</v>
      </c>
      <c r="F22" s="3">
        <v>10</v>
      </c>
      <c r="G22" s="11">
        <v>45321</v>
      </c>
    </row>
    <row r="23" spans="1:7" x14ac:dyDescent="0.35">
      <c r="A23" s="3">
        <v>1020</v>
      </c>
      <c r="B23" s="3" t="s">
        <v>64</v>
      </c>
      <c r="C23" s="3" t="s">
        <v>46</v>
      </c>
      <c r="D23" s="3" t="s">
        <v>44</v>
      </c>
      <c r="E23" s="3">
        <v>18</v>
      </c>
      <c r="F23" s="3">
        <v>25</v>
      </c>
      <c r="G23" s="11">
        <v>45323</v>
      </c>
    </row>
    <row r="24" spans="1:7" x14ac:dyDescent="0.35">
      <c r="A24" s="3">
        <v>1021</v>
      </c>
      <c r="B24" s="3" t="s">
        <v>65</v>
      </c>
      <c r="C24" s="3" t="s">
        <v>37</v>
      </c>
      <c r="D24" s="3" t="s">
        <v>38</v>
      </c>
      <c r="E24" s="3">
        <v>9</v>
      </c>
      <c r="F24" s="3">
        <v>50</v>
      </c>
      <c r="G24" s="11">
        <v>45324</v>
      </c>
    </row>
    <row r="25" spans="1:7" x14ac:dyDescent="0.35">
      <c r="A25" s="3">
        <v>1022</v>
      </c>
      <c r="B25" s="3" t="s">
        <v>66</v>
      </c>
      <c r="C25" s="3" t="s">
        <v>40</v>
      </c>
      <c r="D25" s="3" t="s">
        <v>48</v>
      </c>
      <c r="E25" s="3">
        <v>35</v>
      </c>
      <c r="F25" s="3">
        <v>5</v>
      </c>
      <c r="G25" s="11">
        <v>45325</v>
      </c>
    </row>
    <row r="26" spans="1:7" x14ac:dyDescent="0.35">
      <c r="A26" s="3">
        <v>1023</v>
      </c>
      <c r="B26" s="3" t="s">
        <v>67</v>
      </c>
      <c r="C26" s="3" t="s">
        <v>43</v>
      </c>
      <c r="D26" s="3" t="s">
        <v>51</v>
      </c>
      <c r="E26" s="3">
        <v>30</v>
      </c>
      <c r="F26" s="3">
        <v>8</v>
      </c>
      <c r="G26" s="11">
        <v>45326</v>
      </c>
    </row>
    <row r="27" spans="1:7" x14ac:dyDescent="0.35">
      <c r="A27" s="3">
        <v>1024</v>
      </c>
      <c r="B27" s="3" t="s">
        <v>68</v>
      </c>
      <c r="C27" s="3" t="s">
        <v>46</v>
      </c>
      <c r="D27" s="3" t="s">
        <v>38</v>
      </c>
      <c r="E27" s="3">
        <v>11</v>
      </c>
      <c r="F27" s="3">
        <v>50</v>
      </c>
      <c r="G27" s="11">
        <v>45328</v>
      </c>
    </row>
    <row r="28" spans="1:7" x14ac:dyDescent="0.35">
      <c r="A28" s="3">
        <v>1025</v>
      </c>
      <c r="B28" s="3" t="s">
        <v>69</v>
      </c>
      <c r="C28" s="3" t="s">
        <v>37</v>
      </c>
      <c r="D28" s="3" t="s">
        <v>41</v>
      </c>
      <c r="E28" s="3">
        <v>14</v>
      </c>
      <c r="F28" s="3">
        <v>10</v>
      </c>
      <c r="G28" s="11">
        <v>45329</v>
      </c>
    </row>
    <row r="29" spans="1:7" x14ac:dyDescent="0.35">
      <c r="A29" s="3">
        <v>1026</v>
      </c>
      <c r="B29" s="3" t="s">
        <v>70</v>
      </c>
      <c r="C29" s="3" t="s">
        <v>40</v>
      </c>
      <c r="D29" s="3" t="s">
        <v>44</v>
      </c>
      <c r="E29" s="3">
        <v>16</v>
      </c>
      <c r="F29" s="3">
        <v>25</v>
      </c>
      <c r="G29" s="11">
        <v>45330</v>
      </c>
    </row>
    <row r="30" spans="1:7" x14ac:dyDescent="0.35">
      <c r="A30" s="3">
        <v>1027</v>
      </c>
      <c r="B30" s="3" t="s">
        <v>71</v>
      </c>
      <c r="C30" s="3" t="s">
        <v>43</v>
      </c>
      <c r="D30" s="3" t="s">
        <v>48</v>
      </c>
      <c r="E30" s="3">
        <v>22</v>
      </c>
      <c r="F30" s="3">
        <v>5</v>
      </c>
      <c r="G30" s="11">
        <v>45331</v>
      </c>
    </row>
    <row r="31" spans="1:7" x14ac:dyDescent="0.35">
      <c r="A31" s="3">
        <v>1028</v>
      </c>
      <c r="B31" s="3" t="s">
        <v>72</v>
      </c>
      <c r="C31" s="3" t="s">
        <v>46</v>
      </c>
      <c r="D31" s="3" t="s">
        <v>51</v>
      </c>
      <c r="E31" s="3">
        <v>27</v>
      </c>
      <c r="F31" s="3">
        <v>8</v>
      </c>
      <c r="G31" s="11">
        <v>45332</v>
      </c>
    </row>
    <row r="32" spans="1:7" x14ac:dyDescent="0.35">
      <c r="A32" s="3">
        <v>1029</v>
      </c>
      <c r="B32" s="3" t="s">
        <v>73</v>
      </c>
      <c r="C32" s="3" t="s">
        <v>37</v>
      </c>
      <c r="D32" s="3" t="s">
        <v>38</v>
      </c>
      <c r="E32" s="3">
        <v>13</v>
      </c>
      <c r="F32" s="3">
        <v>50</v>
      </c>
      <c r="G32" s="11">
        <v>45334</v>
      </c>
    </row>
    <row r="33" spans="1:7" x14ac:dyDescent="0.35">
      <c r="A33" s="3">
        <v>1030</v>
      </c>
      <c r="B33" s="3" t="s">
        <v>74</v>
      </c>
      <c r="C33" s="3" t="s">
        <v>40</v>
      </c>
      <c r="D33" s="3" t="s">
        <v>41</v>
      </c>
      <c r="E33" s="3">
        <v>32</v>
      </c>
      <c r="F33" s="3">
        <v>10</v>
      </c>
      <c r="G33" s="11">
        <v>45335</v>
      </c>
    </row>
    <row r="34" spans="1:7" x14ac:dyDescent="0.35">
      <c r="A34" s="3">
        <v>1031</v>
      </c>
      <c r="B34" s="3" t="s">
        <v>75</v>
      </c>
      <c r="C34" s="3" t="s">
        <v>43</v>
      </c>
      <c r="D34" s="3" t="s">
        <v>44</v>
      </c>
      <c r="E34" s="3">
        <v>10</v>
      </c>
      <c r="F34" s="3">
        <v>25</v>
      </c>
      <c r="G34" s="11">
        <v>45336</v>
      </c>
    </row>
    <row r="35" spans="1:7" x14ac:dyDescent="0.35">
      <c r="A35" s="3">
        <v>1032</v>
      </c>
      <c r="B35" s="3" t="s">
        <v>76</v>
      </c>
      <c r="C35" s="3" t="s">
        <v>46</v>
      </c>
      <c r="D35" s="3" t="s">
        <v>48</v>
      </c>
      <c r="E35" s="3">
        <v>18</v>
      </c>
      <c r="F35" s="3">
        <v>5</v>
      </c>
      <c r="G35" s="11">
        <v>45338</v>
      </c>
    </row>
    <row r="36" spans="1:7" x14ac:dyDescent="0.35">
      <c r="A36" s="3">
        <v>1033</v>
      </c>
      <c r="B36" s="3" t="s">
        <v>77</v>
      </c>
      <c r="C36" s="3" t="s">
        <v>37</v>
      </c>
      <c r="D36" s="3" t="s">
        <v>51</v>
      </c>
      <c r="E36" s="3">
        <v>22</v>
      </c>
      <c r="F36" s="3">
        <v>8</v>
      </c>
      <c r="G36" s="11">
        <v>45339</v>
      </c>
    </row>
    <row r="37" spans="1:7" x14ac:dyDescent="0.35">
      <c r="A37" s="3">
        <v>1034</v>
      </c>
      <c r="B37" s="3" t="s">
        <v>78</v>
      </c>
      <c r="C37" s="3" t="s">
        <v>40</v>
      </c>
      <c r="D37" s="3" t="s">
        <v>38</v>
      </c>
      <c r="E37" s="3">
        <v>17</v>
      </c>
      <c r="F37" s="3">
        <v>50</v>
      </c>
      <c r="G37" s="11">
        <v>45340</v>
      </c>
    </row>
    <row r="38" spans="1:7" x14ac:dyDescent="0.35">
      <c r="A38" s="3">
        <v>1035</v>
      </c>
      <c r="B38" s="3" t="s">
        <v>79</v>
      </c>
      <c r="C38" s="3" t="s">
        <v>43</v>
      </c>
      <c r="D38" s="3" t="s">
        <v>41</v>
      </c>
      <c r="E38" s="3">
        <v>19</v>
      </c>
      <c r="F38" s="3">
        <v>10</v>
      </c>
      <c r="G38" s="11">
        <v>45341</v>
      </c>
    </row>
    <row r="39" spans="1:7" x14ac:dyDescent="0.35">
      <c r="A39" s="3">
        <v>1036</v>
      </c>
      <c r="B39" s="3" t="s">
        <v>80</v>
      </c>
      <c r="C39" s="3" t="s">
        <v>46</v>
      </c>
      <c r="D39" s="3" t="s">
        <v>44</v>
      </c>
      <c r="E39" s="3">
        <v>15</v>
      </c>
      <c r="F39" s="3">
        <v>25</v>
      </c>
      <c r="G39" s="11">
        <v>45343</v>
      </c>
    </row>
    <row r="40" spans="1:7" x14ac:dyDescent="0.35">
      <c r="A40" s="3">
        <v>1037</v>
      </c>
      <c r="B40" s="3" t="s">
        <v>81</v>
      </c>
      <c r="C40" s="3" t="s">
        <v>37</v>
      </c>
      <c r="D40" s="3" t="s">
        <v>48</v>
      </c>
      <c r="E40" s="3">
        <v>28</v>
      </c>
      <c r="F40" s="3">
        <v>5</v>
      </c>
      <c r="G40" s="11">
        <v>45344</v>
      </c>
    </row>
    <row r="41" spans="1:7" x14ac:dyDescent="0.35">
      <c r="A41" s="3">
        <v>1038</v>
      </c>
      <c r="B41" s="3" t="s">
        <v>82</v>
      </c>
      <c r="C41" s="3" t="s">
        <v>40</v>
      </c>
      <c r="D41" s="3" t="s">
        <v>51</v>
      </c>
      <c r="E41" s="3">
        <v>24</v>
      </c>
      <c r="F41" s="3">
        <v>8</v>
      </c>
      <c r="G41" s="11">
        <v>45345</v>
      </c>
    </row>
    <row r="42" spans="1:7" x14ac:dyDescent="0.35">
      <c r="A42" s="3">
        <v>1039</v>
      </c>
      <c r="B42" s="3" t="s">
        <v>83</v>
      </c>
      <c r="C42" s="3" t="s">
        <v>43</v>
      </c>
      <c r="D42" s="3" t="s">
        <v>38</v>
      </c>
      <c r="E42" s="3">
        <v>16</v>
      </c>
      <c r="F42" s="3">
        <v>50</v>
      </c>
      <c r="G42" s="11">
        <v>45347</v>
      </c>
    </row>
    <row r="43" spans="1:7" x14ac:dyDescent="0.35">
      <c r="A43" s="3">
        <v>1040</v>
      </c>
      <c r="B43" s="3" t="s">
        <v>84</v>
      </c>
      <c r="C43" s="3" t="s">
        <v>46</v>
      </c>
      <c r="D43" s="3" t="s">
        <v>41</v>
      </c>
      <c r="E43" s="3">
        <v>27</v>
      </c>
      <c r="F43" s="3">
        <v>10</v>
      </c>
      <c r="G43" s="11">
        <v>45348</v>
      </c>
    </row>
    <row r="44" spans="1:7" x14ac:dyDescent="0.35">
      <c r="A44" s="3">
        <v>1041</v>
      </c>
      <c r="B44" s="3" t="s">
        <v>85</v>
      </c>
      <c r="C44" s="3" t="s">
        <v>37</v>
      </c>
      <c r="D44" s="3" t="s">
        <v>44</v>
      </c>
      <c r="E44" s="3">
        <v>21</v>
      </c>
      <c r="F44" s="3">
        <v>25</v>
      </c>
      <c r="G44" s="11">
        <v>45349</v>
      </c>
    </row>
    <row r="45" spans="1:7" x14ac:dyDescent="0.35">
      <c r="A45" s="3">
        <v>1042</v>
      </c>
      <c r="B45" s="3" t="s">
        <v>86</v>
      </c>
      <c r="C45" s="3" t="s">
        <v>40</v>
      </c>
      <c r="D45" s="3" t="s">
        <v>48</v>
      </c>
      <c r="E45" s="3">
        <v>30</v>
      </c>
      <c r="F45" s="3">
        <v>5</v>
      </c>
      <c r="G45" s="11">
        <v>45350</v>
      </c>
    </row>
    <row r="46" spans="1:7" x14ac:dyDescent="0.35">
      <c r="A46" s="3">
        <v>1043</v>
      </c>
      <c r="B46" s="3" t="s">
        <v>87</v>
      </c>
      <c r="C46" s="3" t="s">
        <v>43</v>
      </c>
      <c r="D46" s="3" t="s">
        <v>51</v>
      </c>
      <c r="E46" s="3">
        <v>26</v>
      </c>
      <c r="F46" s="3">
        <v>8</v>
      </c>
      <c r="G46" s="11">
        <v>45352</v>
      </c>
    </row>
    <row r="47" spans="1:7" x14ac:dyDescent="0.35">
      <c r="A47" s="3">
        <v>1044</v>
      </c>
      <c r="B47" s="3" t="s">
        <v>88</v>
      </c>
      <c r="C47" s="3" t="s">
        <v>46</v>
      </c>
      <c r="D47" s="3" t="s">
        <v>38</v>
      </c>
      <c r="E47" s="3">
        <v>14</v>
      </c>
      <c r="F47" s="3">
        <v>50</v>
      </c>
      <c r="G47" s="11">
        <v>45353</v>
      </c>
    </row>
    <row r="48" spans="1:7" x14ac:dyDescent="0.35">
      <c r="A48" s="3">
        <v>1045</v>
      </c>
      <c r="B48" s="3" t="s">
        <v>89</v>
      </c>
      <c r="C48" s="3" t="s">
        <v>37</v>
      </c>
      <c r="D48" s="3" t="s">
        <v>41</v>
      </c>
      <c r="E48" s="3">
        <v>20</v>
      </c>
      <c r="F48" s="3">
        <v>10</v>
      </c>
      <c r="G48" s="11">
        <v>45354</v>
      </c>
    </row>
    <row r="49" spans="1:7" x14ac:dyDescent="0.35">
      <c r="A49" s="3">
        <v>1046</v>
      </c>
      <c r="B49" s="3" t="s">
        <v>90</v>
      </c>
      <c r="C49" s="3" t="s">
        <v>40</v>
      </c>
      <c r="D49" s="3" t="s">
        <v>44</v>
      </c>
      <c r="E49" s="3">
        <v>17</v>
      </c>
      <c r="F49" s="3">
        <v>25</v>
      </c>
      <c r="G49" s="11">
        <v>45355</v>
      </c>
    </row>
    <row r="50" spans="1:7" x14ac:dyDescent="0.35">
      <c r="A50" s="3">
        <v>1047</v>
      </c>
      <c r="B50" s="3" t="s">
        <v>91</v>
      </c>
      <c r="C50" s="3" t="s">
        <v>43</v>
      </c>
      <c r="D50" s="3" t="s">
        <v>48</v>
      </c>
      <c r="E50" s="3">
        <v>19</v>
      </c>
      <c r="F50" s="3">
        <v>5</v>
      </c>
      <c r="G50" s="11">
        <v>45356</v>
      </c>
    </row>
    <row r="51" spans="1:7" x14ac:dyDescent="0.35">
      <c r="A51" s="3">
        <v>1048</v>
      </c>
      <c r="B51" s="3" t="s">
        <v>92</v>
      </c>
      <c r="C51" s="3" t="s">
        <v>46</v>
      </c>
      <c r="D51" s="3" t="s">
        <v>51</v>
      </c>
      <c r="E51" s="3">
        <v>32</v>
      </c>
      <c r="F51" s="3">
        <v>8</v>
      </c>
      <c r="G51" s="11">
        <v>45357</v>
      </c>
    </row>
    <row r="52" spans="1:7" x14ac:dyDescent="0.35">
      <c r="A52" s="3">
        <v>1049</v>
      </c>
      <c r="B52" s="3" t="s">
        <v>93</v>
      </c>
      <c r="C52" s="3" t="s">
        <v>37</v>
      </c>
      <c r="D52" s="3" t="s">
        <v>38</v>
      </c>
      <c r="E52" s="3">
        <v>12</v>
      </c>
      <c r="F52" s="3">
        <v>50</v>
      </c>
      <c r="G52" s="11">
        <v>45358</v>
      </c>
    </row>
    <row r="53" spans="1:7" x14ac:dyDescent="0.35">
      <c r="A53" s="3">
        <v>1050</v>
      </c>
      <c r="B53" s="3" t="s">
        <v>94</v>
      </c>
      <c r="C53" s="3" t="s">
        <v>40</v>
      </c>
      <c r="D53" s="3" t="s">
        <v>41</v>
      </c>
      <c r="E53" s="3">
        <v>25</v>
      </c>
      <c r="F53" s="3">
        <v>10</v>
      </c>
      <c r="G53" s="11">
        <v>45359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0CD4-1D3C-4BED-9249-22FDA86B0A9D}">
  <dimension ref="A1:I53"/>
  <sheetViews>
    <sheetView showGridLines="0" topLeftCell="A33" workbookViewId="0">
      <selection activeCell="A3" sqref="A3:G53"/>
    </sheetView>
  </sheetViews>
  <sheetFormatPr defaultRowHeight="14.5" x14ac:dyDescent="0.35"/>
  <cols>
    <col min="1" max="1" width="7.54296875" bestFit="1" customWidth="1"/>
    <col min="2" max="2" width="13.90625" bestFit="1" customWidth="1"/>
    <col min="3" max="3" width="6.453125" bestFit="1" customWidth="1"/>
    <col min="4" max="4" width="9" bestFit="1" customWidth="1"/>
    <col min="5" max="5" width="8" bestFit="1" customWidth="1"/>
    <col min="6" max="6" width="8.26953125" bestFit="1" customWidth="1"/>
    <col min="7" max="7" width="10.08984375" bestFit="1" customWidth="1"/>
  </cols>
  <sheetData>
    <row r="1" spans="1:9" s="10" customFormat="1" x14ac:dyDescent="0.35">
      <c r="A1" s="10" t="s">
        <v>95</v>
      </c>
    </row>
    <row r="3" spans="1:9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I3" t="s">
        <v>1</v>
      </c>
    </row>
    <row r="4" spans="1:9" x14ac:dyDescent="0.35">
      <c r="A4" s="3">
        <v>1001</v>
      </c>
      <c r="B4" s="3" t="s">
        <v>36</v>
      </c>
      <c r="C4" s="3" t="s">
        <v>37</v>
      </c>
      <c r="D4" s="3" t="s">
        <v>38</v>
      </c>
      <c r="E4" s="3">
        <v>10</v>
      </c>
      <c r="F4" s="3">
        <v>50</v>
      </c>
      <c r="G4" s="11">
        <v>45296</v>
      </c>
      <c r="I4" s="12">
        <f>E4*F4</f>
        <v>500</v>
      </c>
    </row>
    <row r="5" spans="1:9" x14ac:dyDescent="0.35">
      <c r="A5" s="3">
        <v>1002</v>
      </c>
      <c r="B5" s="3" t="s">
        <v>39</v>
      </c>
      <c r="C5" s="3" t="s">
        <v>40</v>
      </c>
      <c r="D5" s="3" t="s">
        <v>41</v>
      </c>
      <c r="E5" s="3">
        <v>20</v>
      </c>
      <c r="F5" s="3">
        <v>10</v>
      </c>
      <c r="G5" s="11">
        <v>45297</v>
      </c>
      <c r="I5" s="12">
        <f t="shared" ref="I5:I53" si="0">E5*F5</f>
        <v>200</v>
      </c>
    </row>
    <row r="6" spans="1:9" x14ac:dyDescent="0.35">
      <c r="A6" s="3">
        <v>1003</v>
      </c>
      <c r="B6" s="3" t="s">
        <v>42</v>
      </c>
      <c r="C6" s="3" t="s">
        <v>43</v>
      </c>
      <c r="D6" s="3" t="s">
        <v>44</v>
      </c>
      <c r="E6" s="3">
        <v>15</v>
      </c>
      <c r="F6" s="3">
        <v>25</v>
      </c>
      <c r="G6" s="11">
        <v>45298</v>
      </c>
      <c r="I6" s="12">
        <f t="shared" si="0"/>
        <v>375</v>
      </c>
    </row>
    <row r="7" spans="1:9" x14ac:dyDescent="0.35">
      <c r="A7" s="3">
        <v>1004</v>
      </c>
      <c r="B7" s="3" t="s">
        <v>45</v>
      </c>
      <c r="C7" s="3" t="s">
        <v>46</v>
      </c>
      <c r="D7" s="3" t="s">
        <v>38</v>
      </c>
      <c r="E7" s="3">
        <v>5</v>
      </c>
      <c r="F7" s="3">
        <v>50</v>
      </c>
      <c r="G7" s="11">
        <v>45299</v>
      </c>
      <c r="I7" s="12">
        <f t="shared" si="0"/>
        <v>250</v>
      </c>
    </row>
    <row r="8" spans="1:9" x14ac:dyDescent="0.35">
      <c r="A8" s="3">
        <v>1005</v>
      </c>
      <c r="B8" s="3" t="s">
        <v>47</v>
      </c>
      <c r="C8" s="3" t="s">
        <v>37</v>
      </c>
      <c r="D8" s="3" t="s">
        <v>48</v>
      </c>
      <c r="E8" s="3">
        <v>30</v>
      </c>
      <c r="F8" s="3">
        <v>5</v>
      </c>
      <c r="G8" s="11">
        <v>45301</v>
      </c>
      <c r="I8" s="12">
        <f t="shared" si="0"/>
        <v>150</v>
      </c>
    </row>
    <row r="9" spans="1:9" x14ac:dyDescent="0.35">
      <c r="A9" s="3">
        <v>1006</v>
      </c>
      <c r="B9" s="3" t="s">
        <v>49</v>
      </c>
      <c r="C9" s="3" t="s">
        <v>40</v>
      </c>
      <c r="D9" s="3" t="s">
        <v>38</v>
      </c>
      <c r="E9" s="3">
        <v>12</v>
      </c>
      <c r="F9" s="3">
        <v>50</v>
      </c>
      <c r="G9" s="11">
        <v>45302</v>
      </c>
      <c r="I9" s="12">
        <f t="shared" si="0"/>
        <v>600</v>
      </c>
    </row>
    <row r="10" spans="1:9" x14ac:dyDescent="0.35">
      <c r="A10" s="3">
        <v>1007</v>
      </c>
      <c r="B10" s="3" t="s">
        <v>50</v>
      </c>
      <c r="C10" s="3" t="s">
        <v>43</v>
      </c>
      <c r="D10" s="3" t="s">
        <v>51</v>
      </c>
      <c r="E10" s="3">
        <v>25</v>
      </c>
      <c r="F10" s="3">
        <v>8</v>
      </c>
      <c r="G10" s="11">
        <v>45304</v>
      </c>
      <c r="I10" s="12">
        <f t="shared" si="0"/>
        <v>200</v>
      </c>
    </row>
    <row r="11" spans="1:9" x14ac:dyDescent="0.35">
      <c r="A11" s="3">
        <v>1008</v>
      </c>
      <c r="B11" s="3" t="s">
        <v>52</v>
      </c>
      <c r="C11" s="3" t="s">
        <v>46</v>
      </c>
      <c r="D11" s="3" t="s">
        <v>41</v>
      </c>
      <c r="E11" s="3">
        <v>18</v>
      </c>
      <c r="F11" s="3">
        <v>10</v>
      </c>
      <c r="G11" s="11">
        <v>45306</v>
      </c>
      <c r="I11" s="12">
        <f t="shared" si="0"/>
        <v>180</v>
      </c>
    </row>
    <row r="12" spans="1:9" x14ac:dyDescent="0.35">
      <c r="A12" s="3">
        <v>1009</v>
      </c>
      <c r="B12" s="3" t="s">
        <v>53</v>
      </c>
      <c r="C12" s="3" t="s">
        <v>37</v>
      </c>
      <c r="D12" s="3" t="s">
        <v>44</v>
      </c>
      <c r="E12" s="3">
        <v>22</v>
      </c>
      <c r="F12" s="3">
        <v>25</v>
      </c>
      <c r="G12" s="11">
        <v>45308</v>
      </c>
      <c r="I12" s="12">
        <f t="shared" si="0"/>
        <v>550</v>
      </c>
    </row>
    <row r="13" spans="1:9" x14ac:dyDescent="0.35">
      <c r="A13" s="3">
        <v>1010</v>
      </c>
      <c r="B13" s="3" t="s">
        <v>54</v>
      </c>
      <c r="C13" s="3" t="s">
        <v>40</v>
      </c>
      <c r="D13" s="3" t="s">
        <v>38</v>
      </c>
      <c r="E13" s="3">
        <v>8</v>
      </c>
      <c r="F13" s="3">
        <v>50</v>
      </c>
      <c r="G13" s="11">
        <v>45309</v>
      </c>
      <c r="I13" s="12">
        <f t="shared" si="0"/>
        <v>400</v>
      </c>
    </row>
    <row r="14" spans="1:9" x14ac:dyDescent="0.35">
      <c r="A14" s="3">
        <v>1011</v>
      </c>
      <c r="B14" s="3" t="s">
        <v>55</v>
      </c>
      <c r="C14" s="3" t="s">
        <v>43</v>
      </c>
      <c r="D14" s="3" t="s">
        <v>48</v>
      </c>
      <c r="E14" s="3">
        <v>40</v>
      </c>
      <c r="F14" s="3">
        <v>5</v>
      </c>
      <c r="G14" s="11">
        <v>45310</v>
      </c>
      <c r="I14" s="12">
        <f t="shared" si="0"/>
        <v>200</v>
      </c>
    </row>
    <row r="15" spans="1:9" x14ac:dyDescent="0.35">
      <c r="A15" s="3">
        <v>1012</v>
      </c>
      <c r="B15" s="3" t="s">
        <v>56</v>
      </c>
      <c r="C15" s="3" t="s">
        <v>46</v>
      </c>
      <c r="D15" s="3" t="s">
        <v>51</v>
      </c>
      <c r="E15" s="3">
        <v>35</v>
      </c>
      <c r="F15" s="3">
        <v>8</v>
      </c>
      <c r="G15" s="11">
        <v>45311</v>
      </c>
      <c r="I15" s="12">
        <f t="shared" si="0"/>
        <v>280</v>
      </c>
    </row>
    <row r="16" spans="1:9" x14ac:dyDescent="0.35">
      <c r="A16" s="3">
        <v>1013</v>
      </c>
      <c r="B16" s="3" t="s">
        <v>57</v>
      </c>
      <c r="C16" s="3" t="s">
        <v>37</v>
      </c>
      <c r="D16" s="3" t="s">
        <v>38</v>
      </c>
      <c r="E16" s="3">
        <v>14</v>
      </c>
      <c r="F16" s="3">
        <v>50</v>
      </c>
      <c r="G16" s="11">
        <v>45313</v>
      </c>
      <c r="I16" s="12">
        <f t="shared" si="0"/>
        <v>700</v>
      </c>
    </row>
    <row r="17" spans="1:9" x14ac:dyDescent="0.35">
      <c r="A17" s="3">
        <v>1014</v>
      </c>
      <c r="B17" s="3" t="s">
        <v>58</v>
      </c>
      <c r="C17" s="3" t="s">
        <v>40</v>
      </c>
      <c r="D17" s="3" t="s">
        <v>41</v>
      </c>
      <c r="E17" s="3">
        <v>28</v>
      </c>
      <c r="F17" s="3">
        <v>10</v>
      </c>
      <c r="G17" s="11">
        <v>45314</v>
      </c>
      <c r="I17" s="12">
        <f t="shared" si="0"/>
        <v>280</v>
      </c>
    </row>
    <row r="18" spans="1:9" x14ac:dyDescent="0.35">
      <c r="A18" s="3">
        <v>1015</v>
      </c>
      <c r="B18" s="3" t="s">
        <v>59</v>
      </c>
      <c r="C18" s="3" t="s">
        <v>43</v>
      </c>
      <c r="D18" s="3" t="s">
        <v>44</v>
      </c>
      <c r="E18" s="3">
        <v>12</v>
      </c>
      <c r="F18" s="3">
        <v>25</v>
      </c>
      <c r="G18" s="11">
        <v>45315</v>
      </c>
      <c r="I18" s="12">
        <f t="shared" si="0"/>
        <v>300</v>
      </c>
    </row>
    <row r="19" spans="1:9" x14ac:dyDescent="0.35">
      <c r="A19" s="3">
        <v>1016</v>
      </c>
      <c r="B19" s="3" t="s">
        <v>60</v>
      </c>
      <c r="C19" s="3" t="s">
        <v>46</v>
      </c>
      <c r="D19" s="3" t="s">
        <v>48</v>
      </c>
      <c r="E19" s="3">
        <v>25</v>
      </c>
      <c r="F19" s="3">
        <v>5</v>
      </c>
      <c r="G19" s="11">
        <v>45317</v>
      </c>
      <c r="I19" s="12">
        <f t="shared" si="0"/>
        <v>125</v>
      </c>
    </row>
    <row r="20" spans="1:9" x14ac:dyDescent="0.35">
      <c r="A20" s="3">
        <v>1017</v>
      </c>
      <c r="B20" s="3" t="s">
        <v>61</v>
      </c>
      <c r="C20" s="3" t="s">
        <v>37</v>
      </c>
      <c r="D20" s="3" t="s">
        <v>51</v>
      </c>
      <c r="E20" s="3">
        <v>20</v>
      </c>
      <c r="F20" s="3">
        <v>8</v>
      </c>
      <c r="G20" s="11">
        <v>45319</v>
      </c>
      <c r="I20" s="12">
        <f t="shared" si="0"/>
        <v>160</v>
      </c>
    </row>
    <row r="21" spans="1:9" x14ac:dyDescent="0.35">
      <c r="A21" s="3">
        <v>1018</v>
      </c>
      <c r="B21" s="3" t="s">
        <v>62</v>
      </c>
      <c r="C21" s="3" t="s">
        <v>40</v>
      </c>
      <c r="D21" s="3" t="s">
        <v>38</v>
      </c>
      <c r="E21" s="3">
        <v>10</v>
      </c>
      <c r="F21" s="3">
        <v>50</v>
      </c>
      <c r="G21" s="11">
        <v>45320</v>
      </c>
      <c r="I21" s="12">
        <f t="shared" si="0"/>
        <v>500</v>
      </c>
    </row>
    <row r="22" spans="1:9" x14ac:dyDescent="0.35">
      <c r="A22" s="3">
        <v>1019</v>
      </c>
      <c r="B22" s="3" t="s">
        <v>63</v>
      </c>
      <c r="C22" s="3" t="s">
        <v>43</v>
      </c>
      <c r="D22" s="3" t="s">
        <v>41</v>
      </c>
      <c r="E22" s="3">
        <v>15</v>
      </c>
      <c r="F22" s="3">
        <v>10</v>
      </c>
      <c r="G22" s="11">
        <v>45321</v>
      </c>
      <c r="I22" s="12">
        <f t="shared" si="0"/>
        <v>150</v>
      </c>
    </row>
    <row r="23" spans="1:9" x14ac:dyDescent="0.35">
      <c r="A23" s="3">
        <v>1020</v>
      </c>
      <c r="B23" s="3" t="s">
        <v>64</v>
      </c>
      <c r="C23" s="3" t="s">
        <v>46</v>
      </c>
      <c r="D23" s="3" t="s">
        <v>44</v>
      </c>
      <c r="E23" s="3">
        <v>18</v>
      </c>
      <c r="F23" s="3">
        <v>25</v>
      </c>
      <c r="G23" s="11">
        <v>45323</v>
      </c>
      <c r="I23" s="12">
        <f t="shared" si="0"/>
        <v>450</v>
      </c>
    </row>
    <row r="24" spans="1:9" x14ac:dyDescent="0.35">
      <c r="A24" s="3">
        <v>1021</v>
      </c>
      <c r="B24" s="3" t="s">
        <v>65</v>
      </c>
      <c r="C24" s="3" t="s">
        <v>37</v>
      </c>
      <c r="D24" s="3" t="s">
        <v>38</v>
      </c>
      <c r="E24" s="3">
        <v>9</v>
      </c>
      <c r="F24" s="3">
        <v>50</v>
      </c>
      <c r="G24" s="11">
        <v>45324</v>
      </c>
      <c r="I24" s="12">
        <f t="shared" si="0"/>
        <v>450</v>
      </c>
    </row>
    <row r="25" spans="1:9" x14ac:dyDescent="0.35">
      <c r="A25" s="3">
        <v>1022</v>
      </c>
      <c r="B25" s="3" t="s">
        <v>66</v>
      </c>
      <c r="C25" s="3" t="s">
        <v>40</v>
      </c>
      <c r="D25" s="3" t="s">
        <v>48</v>
      </c>
      <c r="E25" s="3">
        <v>35</v>
      </c>
      <c r="F25" s="3">
        <v>5</v>
      </c>
      <c r="G25" s="11">
        <v>45325</v>
      </c>
      <c r="I25" s="12">
        <f t="shared" si="0"/>
        <v>175</v>
      </c>
    </row>
    <row r="26" spans="1:9" x14ac:dyDescent="0.35">
      <c r="A26" s="3">
        <v>1023</v>
      </c>
      <c r="B26" s="3" t="s">
        <v>67</v>
      </c>
      <c r="C26" s="3" t="s">
        <v>43</v>
      </c>
      <c r="D26" s="3" t="s">
        <v>51</v>
      </c>
      <c r="E26" s="3">
        <v>30</v>
      </c>
      <c r="F26" s="3">
        <v>8</v>
      </c>
      <c r="G26" s="11">
        <v>45326</v>
      </c>
      <c r="I26" s="12">
        <f t="shared" si="0"/>
        <v>240</v>
      </c>
    </row>
    <row r="27" spans="1:9" x14ac:dyDescent="0.35">
      <c r="A27" s="3">
        <v>1024</v>
      </c>
      <c r="B27" s="3" t="s">
        <v>68</v>
      </c>
      <c r="C27" s="3" t="s">
        <v>46</v>
      </c>
      <c r="D27" s="3" t="s">
        <v>38</v>
      </c>
      <c r="E27" s="3">
        <v>11</v>
      </c>
      <c r="F27" s="3">
        <v>50</v>
      </c>
      <c r="G27" s="11">
        <v>45328</v>
      </c>
      <c r="I27" s="12">
        <f t="shared" si="0"/>
        <v>550</v>
      </c>
    </row>
    <row r="28" spans="1:9" x14ac:dyDescent="0.35">
      <c r="A28" s="3">
        <v>1025</v>
      </c>
      <c r="B28" s="3" t="s">
        <v>69</v>
      </c>
      <c r="C28" s="3" t="s">
        <v>37</v>
      </c>
      <c r="D28" s="3" t="s">
        <v>41</v>
      </c>
      <c r="E28" s="3">
        <v>14</v>
      </c>
      <c r="F28" s="3">
        <v>10</v>
      </c>
      <c r="G28" s="11">
        <v>45329</v>
      </c>
      <c r="I28" s="12">
        <f t="shared" si="0"/>
        <v>140</v>
      </c>
    </row>
    <row r="29" spans="1:9" x14ac:dyDescent="0.35">
      <c r="A29" s="3">
        <v>1026</v>
      </c>
      <c r="B29" s="3" t="s">
        <v>70</v>
      </c>
      <c r="C29" s="3" t="s">
        <v>40</v>
      </c>
      <c r="D29" s="3" t="s">
        <v>44</v>
      </c>
      <c r="E29" s="3">
        <v>16</v>
      </c>
      <c r="F29" s="3">
        <v>25</v>
      </c>
      <c r="G29" s="11">
        <v>45330</v>
      </c>
      <c r="I29" s="12">
        <f t="shared" si="0"/>
        <v>400</v>
      </c>
    </row>
    <row r="30" spans="1:9" x14ac:dyDescent="0.35">
      <c r="A30" s="3">
        <v>1027</v>
      </c>
      <c r="B30" s="3" t="s">
        <v>71</v>
      </c>
      <c r="C30" s="3" t="s">
        <v>43</v>
      </c>
      <c r="D30" s="3" t="s">
        <v>48</v>
      </c>
      <c r="E30" s="3">
        <v>22</v>
      </c>
      <c r="F30" s="3">
        <v>5</v>
      </c>
      <c r="G30" s="11">
        <v>45331</v>
      </c>
      <c r="I30" s="12">
        <f t="shared" si="0"/>
        <v>110</v>
      </c>
    </row>
    <row r="31" spans="1:9" x14ac:dyDescent="0.35">
      <c r="A31" s="3">
        <v>1028</v>
      </c>
      <c r="B31" s="3" t="s">
        <v>72</v>
      </c>
      <c r="C31" s="3" t="s">
        <v>46</v>
      </c>
      <c r="D31" s="3" t="s">
        <v>51</v>
      </c>
      <c r="E31" s="3">
        <v>27</v>
      </c>
      <c r="F31" s="3">
        <v>8</v>
      </c>
      <c r="G31" s="11">
        <v>45332</v>
      </c>
      <c r="I31" s="12">
        <f t="shared" si="0"/>
        <v>216</v>
      </c>
    </row>
    <row r="32" spans="1:9" x14ac:dyDescent="0.35">
      <c r="A32" s="3">
        <v>1029</v>
      </c>
      <c r="B32" s="3" t="s">
        <v>73</v>
      </c>
      <c r="C32" s="3" t="s">
        <v>37</v>
      </c>
      <c r="D32" s="3" t="s">
        <v>38</v>
      </c>
      <c r="E32" s="3">
        <v>13</v>
      </c>
      <c r="F32" s="3">
        <v>50</v>
      </c>
      <c r="G32" s="11">
        <v>45334</v>
      </c>
      <c r="I32" s="12">
        <f t="shared" si="0"/>
        <v>650</v>
      </c>
    </row>
    <row r="33" spans="1:9" x14ac:dyDescent="0.35">
      <c r="A33" s="3">
        <v>1030</v>
      </c>
      <c r="B33" s="3" t="s">
        <v>74</v>
      </c>
      <c r="C33" s="3" t="s">
        <v>40</v>
      </c>
      <c r="D33" s="3" t="s">
        <v>41</v>
      </c>
      <c r="E33" s="3">
        <v>32</v>
      </c>
      <c r="F33" s="3">
        <v>10</v>
      </c>
      <c r="G33" s="11">
        <v>45335</v>
      </c>
      <c r="I33" s="12">
        <f t="shared" si="0"/>
        <v>320</v>
      </c>
    </row>
    <row r="34" spans="1:9" x14ac:dyDescent="0.35">
      <c r="A34" s="3">
        <v>1031</v>
      </c>
      <c r="B34" s="3" t="s">
        <v>75</v>
      </c>
      <c r="C34" s="3" t="s">
        <v>43</v>
      </c>
      <c r="D34" s="3" t="s">
        <v>44</v>
      </c>
      <c r="E34" s="3">
        <v>10</v>
      </c>
      <c r="F34" s="3">
        <v>25</v>
      </c>
      <c r="G34" s="11">
        <v>45336</v>
      </c>
      <c r="I34" s="12">
        <f t="shared" si="0"/>
        <v>250</v>
      </c>
    </row>
    <row r="35" spans="1:9" x14ac:dyDescent="0.35">
      <c r="A35" s="3">
        <v>1032</v>
      </c>
      <c r="B35" s="3" t="s">
        <v>76</v>
      </c>
      <c r="C35" s="3" t="s">
        <v>46</v>
      </c>
      <c r="D35" s="3" t="s">
        <v>48</v>
      </c>
      <c r="E35" s="3">
        <v>18</v>
      </c>
      <c r="F35" s="3">
        <v>5</v>
      </c>
      <c r="G35" s="11">
        <v>45338</v>
      </c>
      <c r="I35" s="12">
        <f t="shared" si="0"/>
        <v>90</v>
      </c>
    </row>
    <row r="36" spans="1:9" x14ac:dyDescent="0.35">
      <c r="A36" s="3">
        <v>1033</v>
      </c>
      <c r="B36" s="3" t="s">
        <v>77</v>
      </c>
      <c r="C36" s="3" t="s">
        <v>37</v>
      </c>
      <c r="D36" s="3" t="s">
        <v>51</v>
      </c>
      <c r="E36" s="3">
        <v>22</v>
      </c>
      <c r="F36" s="3">
        <v>8</v>
      </c>
      <c r="G36" s="11">
        <v>45339</v>
      </c>
      <c r="I36" s="12">
        <f t="shared" si="0"/>
        <v>176</v>
      </c>
    </row>
    <row r="37" spans="1:9" x14ac:dyDescent="0.35">
      <c r="A37" s="3">
        <v>1034</v>
      </c>
      <c r="B37" s="3" t="s">
        <v>78</v>
      </c>
      <c r="C37" s="3" t="s">
        <v>40</v>
      </c>
      <c r="D37" s="3" t="s">
        <v>38</v>
      </c>
      <c r="E37" s="3">
        <v>17</v>
      </c>
      <c r="F37" s="3">
        <v>50</v>
      </c>
      <c r="G37" s="11">
        <v>45340</v>
      </c>
      <c r="I37" s="12">
        <f t="shared" si="0"/>
        <v>850</v>
      </c>
    </row>
    <row r="38" spans="1:9" x14ac:dyDescent="0.35">
      <c r="A38" s="3">
        <v>1035</v>
      </c>
      <c r="B38" s="3" t="s">
        <v>79</v>
      </c>
      <c r="C38" s="3" t="s">
        <v>43</v>
      </c>
      <c r="D38" s="3" t="s">
        <v>41</v>
      </c>
      <c r="E38" s="3">
        <v>19</v>
      </c>
      <c r="F38" s="3">
        <v>10</v>
      </c>
      <c r="G38" s="11">
        <v>45341</v>
      </c>
      <c r="I38" s="12">
        <f t="shared" si="0"/>
        <v>190</v>
      </c>
    </row>
    <row r="39" spans="1:9" x14ac:dyDescent="0.35">
      <c r="A39" s="3">
        <v>1036</v>
      </c>
      <c r="B39" s="3" t="s">
        <v>80</v>
      </c>
      <c r="C39" s="3" t="s">
        <v>46</v>
      </c>
      <c r="D39" s="3" t="s">
        <v>44</v>
      </c>
      <c r="E39" s="3">
        <v>15</v>
      </c>
      <c r="F39" s="3">
        <v>25</v>
      </c>
      <c r="G39" s="11">
        <v>45343</v>
      </c>
      <c r="I39" s="12">
        <f t="shared" si="0"/>
        <v>375</v>
      </c>
    </row>
    <row r="40" spans="1:9" x14ac:dyDescent="0.35">
      <c r="A40" s="3">
        <v>1037</v>
      </c>
      <c r="B40" s="3" t="s">
        <v>81</v>
      </c>
      <c r="C40" s="3" t="s">
        <v>37</v>
      </c>
      <c r="D40" s="3" t="s">
        <v>48</v>
      </c>
      <c r="E40" s="3">
        <v>28</v>
      </c>
      <c r="F40" s="3">
        <v>5</v>
      </c>
      <c r="G40" s="11">
        <v>45344</v>
      </c>
      <c r="I40" s="12">
        <f t="shared" si="0"/>
        <v>140</v>
      </c>
    </row>
    <row r="41" spans="1:9" x14ac:dyDescent="0.35">
      <c r="A41" s="3">
        <v>1038</v>
      </c>
      <c r="B41" s="3" t="s">
        <v>82</v>
      </c>
      <c r="C41" s="3" t="s">
        <v>40</v>
      </c>
      <c r="D41" s="3" t="s">
        <v>51</v>
      </c>
      <c r="E41" s="3">
        <v>24</v>
      </c>
      <c r="F41" s="3">
        <v>8</v>
      </c>
      <c r="G41" s="11">
        <v>45345</v>
      </c>
      <c r="I41" s="12">
        <f t="shared" si="0"/>
        <v>192</v>
      </c>
    </row>
    <row r="42" spans="1:9" x14ac:dyDescent="0.35">
      <c r="A42" s="3">
        <v>1039</v>
      </c>
      <c r="B42" s="3" t="s">
        <v>83</v>
      </c>
      <c r="C42" s="3" t="s">
        <v>43</v>
      </c>
      <c r="D42" s="3" t="s">
        <v>38</v>
      </c>
      <c r="E42" s="3">
        <v>16</v>
      </c>
      <c r="F42" s="3">
        <v>50</v>
      </c>
      <c r="G42" s="11">
        <v>45347</v>
      </c>
      <c r="I42" s="12">
        <f t="shared" si="0"/>
        <v>800</v>
      </c>
    </row>
    <row r="43" spans="1:9" x14ac:dyDescent="0.35">
      <c r="A43" s="3">
        <v>1040</v>
      </c>
      <c r="B43" s="3" t="s">
        <v>84</v>
      </c>
      <c r="C43" s="3" t="s">
        <v>46</v>
      </c>
      <c r="D43" s="3" t="s">
        <v>41</v>
      </c>
      <c r="E43" s="3">
        <v>27</v>
      </c>
      <c r="F43" s="3">
        <v>10</v>
      </c>
      <c r="G43" s="11">
        <v>45348</v>
      </c>
      <c r="I43" s="12">
        <f t="shared" si="0"/>
        <v>270</v>
      </c>
    </row>
    <row r="44" spans="1:9" x14ac:dyDescent="0.35">
      <c r="A44" s="3">
        <v>1041</v>
      </c>
      <c r="B44" s="3" t="s">
        <v>85</v>
      </c>
      <c r="C44" s="3" t="s">
        <v>37</v>
      </c>
      <c r="D44" s="3" t="s">
        <v>44</v>
      </c>
      <c r="E44" s="3">
        <v>21</v>
      </c>
      <c r="F44" s="3">
        <v>25</v>
      </c>
      <c r="G44" s="11">
        <v>45349</v>
      </c>
      <c r="I44" s="12">
        <f t="shared" si="0"/>
        <v>525</v>
      </c>
    </row>
    <row r="45" spans="1:9" x14ac:dyDescent="0.35">
      <c r="A45" s="3">
        <v>1042</v>
      </c>
      <c r="B45" s="3" t="s">
        <v>86</v>
      </c>
      <c r="C45" s="3" t="s">
        <v>40</v>
      </c>
      <c r="D45" s="3" t="s">
        <v>48</v>
      </c>
      <c r="E45" s="3">
        <v>30</v>
      </c>
      <c r="F45" s="3">
        <v>5</v>
      </c>
      <c r="G45" s="11">
        <v>45350</v>
      </c>
      <c r="I45" s="12">
        <f t="shared" si="0"/>
        <v>150</v>
      </c>
    </row>
    <row r="46" spans="1:9" x14ac:dyDescent="0.35">
      <c r="A46" s="3">
        <v>1043</v>
      </c>
      <c r="B46" s="3" t="s">
        <v>87</v>
      </c>
      <c r="C46" s="3" t="s">
        <v>43</v>
      </c>
      <c r="D46" s="3" t="s">
        <v>51</v>
      </c>
      <c r="E46" s="3">
        <v>26</v>
      </c>
      <c r="F46" s="3">
        <v>8</v>
      </c>
      <c r="G46" s="11">
        <v>45352</v>
      </c>
      <c r="I46" s="12">
        <f t="shared" si="0"/>
        <v>208</v>
      </c>
    </row>
    <row r="47" spans="1:9" x14ac:dyDescent="0.35">
      <c r="A47" s="3">
        <v>1044</v>
      </c>
      <c r="B47" s="3" t="s">
        <v>88</v>
      </c>
      <c r="C47" s="3" t="s">
        <v>46</v>
      </c>
      <c r="D47" s="3" t="s">
        <v>38</v>
      </c>
      <c r="E47" s="3">
        <v>14</v>
      </c>
      <c r="F47" s="3">
        <v>50</v>
      </c>
      <c r="G47" s="11">
        <v>45353</v>
      </c>
      <c r="I47" s="12">
        <f t="shared" si="0"/>
        <v>700</v>
      </c>
    </row>
    <row r="48" spans="1:9" x14ac:dyDescent="0.35">
      <c r="A48" s="3">
        <v>1045</v>
      </c>
      <c r="B48" s="3" t="s">
        <v>89</v>
      </c>
      <c r="C48" s="3" t="s">
        <v>37</v>
      </c>
      <c r="D48" s="3" t="s">
        <v>41</v>
      </c>
      <c r="E48" s="3">
        <v>20</v>
      </c>
      <c r="F48" s="3">
        <v>10</v>
      </c>
      <c r="G48" s="11">
        <v>45354</v>
      </c>
      <c r="I48" s="12">
        <f t="shared" si="0"/>
        <v>200</v>
      </c>
    </row>
    <row r="49" spans="1:9" x14ac:dyDescent="0.35">
      <c r="A49" s="3">
        <v>1046</v>
      </c>
      <c r="B49" s="3" t="s">
        <v>90</v>
      </c>
      <c r="C49" s="3" t="s">
        <v>40</v>
      </c>
      <c r="D49" s="3" t="s">
        <v>44</v>
      </c>
      <c r="E49" s="3">
        <v>17</v>
      </c>
      <c r="F49" s="3">
        <v>25</v>
      </c>
      <c r="G49" s="11">
        <v>45355</v>
      </c>
      <c r="I49" s="12">
        <f t="shared" si="0"/>
        <v>425</v>
      </c>
    </row>
    <row r="50" spans="1:9" x14ac:dyDescent="0.35">
      <c r="A50" s="3">
        <v>1047</v>
      </c>
      <c r="B50" s="3" t="s">
        <v>91</v>
      </c>
      <c r="C50" s="3" t="s">
        <v>43</v>
      </c>
      <c r="D50" s="3" t="s">
        <v>48</v>
      </c>
      <c r="E50" s="3">
        <v>19</v>
      </c>
      <c r="F50" s="3">
        <v>5</v>
      </c>
      <c r="G50" s="11">
        <v>45356</v>
      </c>
      <c r="I50" s="12">
        <f t="shared" si="0"/>
        <v>95</v>
      </c>
    </row>
    <row r="51" spans="1:9" x14ac:dyDescent="0.35">
      <c r="A51" s="3">
        <v>1048</v>
      </c>
      <c r="B51" s="3" t="s">
        <v>92</v>
      </c>
      <c r="C51" s="3" t="s">
        <v>46</v>
      </c>
      <c r="D51" s="3" t="s">
        <v>51</v>
      </c>
      <c r="E51" s="3">
        <v>32</v>
      </c>
      <c r="F51" s="3">
        <v>8</v>
      </c>
      <c r="G51" s="11">
        <v>45357</v>
      </c>
      <c r="I51" s="12">
        <f t="shared" si="0"/>
        <v>256</v>
      </c>
    </row>
    <row r="52" spans="1:9" x14ac:dyDescent="0.35">
      <c r="A52" s="3">
        <v>1049</v>
      </c>
      <c r="B52" s="3" t="s">
        <v>93</v>
      </c>
      <c r="C52" s="3" t="s">
        <v>37</v>
      </c>
      <c r="D52" s="3" t="s">
        <v>38</v>
      </c>
      <c r="E52" s="3">
        <v>12</v>
      </c>
      <c r="F52" s="3">
        <v>50</v>
      </c>
      <c r="G52" s="11">
        <v>45358</v>
      </c>
      <c r="I52" s="12">
        <f t="shared" si="0"/>
        <v>600</v>
      </c>
    </row>
    <row r="53" spans="1:9" x14ac:dyDescent="0.35">
      <c r="A53" s="3">
        <v>1050</v>
      </c>
      <c r="B53" s="3" t="s">
        <v>94</v>
      </c>
      <c r="C53" s="3" t="s">
        <v>40</v>
      </c>
      <c r="D53" s="3" t="s">
        <v>41</v>
      </c>
      <c r="E53" s="3">
        <v>25</v>
      </c>
      <c r="F53" s="3">
        <v>10</v>
      </c>
      <c r="G53" s="11">
        <v>45359</v>
      </c>
      <c r="I53" s="12">
        <f t="shared" si="0"/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44F2-35AD-46F0-A6F9-DEDFEC42AB88}">
  <dimension ref="A1:K53"/>
  <sheetViews>
    <sheetView showGridLines="0" topLeftCell="A33" workbookViewId="0">
      <selection activeCell="A3" sqref="A3:H53"/>
    </sheetView>
  </sheetViews>
  <sheetFormatPr defaultRowHeight="14.5" x14ac:dyDescent="0.35"/>
  <cols>
    <col min="1" max="1" width="7.54296875" bestFit="1" customWidth="1"/>
    <col min="2" max="2" width="13.90625" bestFit="1" customWidth="1"/>
    <col min="3" max="3" width="6.453125" bestFit="1" customWidth="1"/>
    <col min="4" max="4" width="9" bestFit="1" customWidth="1"/>
    <col min="5" max="5" width="8" bestFit="1" customWidth="1"/>
    <col min="6" max="6" width="8.26953125" bestFit="1" customWidth="1"/>
    <col min="7" max="7" width="10.08984375" bestFit="1" customWidth="1"/>
  </cols>
  <sheetData>
    <row r="1" spans="1:11" x14ac:dyDescent="0.35">
      <c r="A1" t="s">
        <v>96</v>
      </c>
    </row>
    <row r="3" spans="1:1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14" t="s">
        <v>27</v>
      </c>
      <c r="J3" t="s">
        <v>1</v>
      </c>
    </row>
    <row r="4" spans="1:11" x14ac:dyDescent="0.35">
      <c r="A4" s="3">
        <v>1001</v>
      </c>
      <c r="B4" s="3" t="s">
        <v>36</v>
      </c>
      <c r="C4" s="3" t="s">
        <v>37</v>
      </c>
      <c r="D4" s="3" t="s">
        <v>38</v>
      </c>
      <c r="E4" s="3">
        <v>10</v>
      </c>
      <c r="F4" s="3">
        <v>50</v>
      </c>
      <c r="G4" s="11">
        <v>45296</v>
      </c>
      <c r="H4" s="5">
        <f>E4*F4</f>
        <v>500</v>
      </c>
      <c r="K4" s="9">
        <f>SUMIFS(H4:H53,C4:C53,"North",D4:D53,"Notebook")</f>
        <v>2900</v>
      </c>
    </row>
    <row r="5" spans="1:11" x14ac:dyDescent="0.35">
      <c r="A5" s="3">
        <v>1002</v>
      </c>
      <c r="B5" s="3" t="s">
        <v>39</v>
      </c>
      <c r="C5" s="3" t="s">
        <v>40</v>
      </c>
      <c r="D5" s="3" t="s">
        <v>41</v>
      </c>
      <c r="E5" s="3">
        <v>20</v>
      </c>
      <c r="F5" s="3">
        <v>10</v>
      </c>
      <c r="G5" s="11">
        <v>45297</v>
      </c>
      <c r="H5" s="5">
        <f t="shared" ref="H5:H53" si="0">E5*F5</f>
        <v>200</v>
      </c>
    </row>
    <row r="6" spans="1:11" x14ac:dyDescent="0.35">
      <c r="A6" s="3">
        <v>1003</v>
      </c>
      <c r="B6" s="3" t="s">
        <v>42</v>
      </c>
      <c r="C6" s="3" t="s">
        <v>43</v>
      </c>
      <c r="D6" s="3" t="s">
        <v>44</v>
      </c>
      <c r="E6" s="3">
        <v>15</v>
      </c>
      <c r="F6" s="3">
        <v>25</v>
      </c>
      <c r="G6" s="11">
        <v>45298</v>
      </c>
      <c r="H6" s="5">
        <f t="shared" si="0"/>
        <v>375</v>
      </c>
    </row>
    <row r="7" spans="1:11" x14ac:dyDescent="0.35">
      <c r="A7" s="3">
        <v>1004</v>
      </c>
      <c r="B7" s="3" t="s">
        <v>45</v>
      </c>
      <c r="C7" s="3" t="s">
        <v>46</v>
      </c>
      <c r="D7" s="3" t="s">
        <v>38</v>
      </c>
      <c r="E7" s="3">
        <v>5</v>
      </c>
      <c r="F7" s="3">
        <v>50</v>
      </c>
      <c r="G7" s="11">
        <v>45299</v>
      </c>
      <c r="H7" s="5">
        <f t="shared" si="0"/>
        <v>250</v>
      </c>
    </row>
    <row r="8" spans="1:11" x14ac:dyDescent="0.35">
      <c r="A8" s="3">
        <v>1005</v>
      </c>
      <c r="B8" s="3" t="s">
        <v>47</v>
      </c>
      <c r="C8" s="3" t="s">
        <v>37</v>
      </c>
      <c r="D8" s="3" t="s">
        <v>48</v>
      </c>
      <c r="E8" s="3">
        <v>30</v>
      </c>
      <c r="F8" s="3">
        <v>5</v>
      </c>
      <c r="G8" s="11">
        <v>45301</v>
      </c>
      <c r="H8" s="5">
        <f t="shared" si="0"/>
        <v>150</v>
      </c>
    </row>
    <row r="9" spans="1:11" x14ac:dyDescent="0.35">
      <c r="A9" s="3">
        <v>1006</v>
      </c>
      <c r="B9" s="3" t="s">
        <v>49</v>
      </c>
      <c r="C9" s="3" t="s">
        <v>40</v>
      </c>
      <c r="D9" s="3" t="s">
        <v>38</v>
      </c>
      <c r="E9" s="3">
        <v>12</v>
      </c>
      <c r="F9" s="3">
        <v>50</v>
      </c>
      <c r="G9" s="11">
        <v>45302</v>
      </c>
      <c r="H9" s="5">
        <f t="shared" si="0"/>
        <v>600</v>
      </c>
    </row>
    <row r="10" spans="1:11" x14ac:dyDescent="0.35">
      <c r="A10" s="3">
        <v>1007</v>
      </c>
      <c r="B10" s="3" t="s">
        <v>50</v>
      </c>
      <c r="C10" s="3" t="s">
        <v>43</v>
      </c>
      <c r="D10" s="3" t="s">
        <v>51</v>
      </c>
      <c r="E10" s="3">
        <v>25</v>
      </c>
      <c r="F10" s="3">
        <v>8</v>
      </c>
      <c r="G10" s="11">
        <v>45304</v>
      </c>
      <c r="H10" s="5">
        <f t="shared" si="0"/>
        <v>200</v>
      </c>
    </row>
    <row r="11" spans="1:11" x14ac:dyDescent="0.35">
      <c r="A11" s="3">
        <v>1008</v>
      </c>
      <c r="B11" s="3" t="s">
        <v>52</v>
      </c>
      <c r="C11" s="3" t="s">
        <v>46</v>
      </c>
      <c r="D11" s="3" t="s">
        <v>41</v>
      </c>
      <c r="E11" s="3">
        <v>18</v>
      </c>
      <c r="F11" s="3">
        <v>10</v>
      </c>
      <c r="G11" s="11">
        <v>45306</v>
      </c>
      <c r="H11" s="5">
        <f t="shared" si="0"/>
        <v>180</v>
      </c>
    </row>
    <row r="12" spans="1:11" x14ac:dyDescent="0.35">
      <c r="A12" s="3">
        <v>1009</v>
      </c>
      <c r="B12" s="3" t="s">
        <v>53</v>
      </c>
      <c r="C12" s="3" t="s">
        <v>37</v>
      </c>
      <c r="D12" s="3" t="s">
        <v>44</v>
      </c>
      <c r="E12" s="3">
        <v>22</v>
      </c>
      <c r="F12" s="3">
        <v>25</v>
      </c>
      <c r="G12" s="11">
        <v>45308</v>
      </c>
      <c r="H12" s="5">
        <f t="shared" si="0"/>
        <v>550</v>
      </c>
    </row>
    <row r="13" spans="1:11" x14ac:dyDescent="0.35">
      <c r="A13" s="3">
        <v>1010</v>
      </c>
      <c r="B13" s="3" t="s">
        <v>54</v>
      </c>
      <c r="C13" s="3" t="s">
        <v>40</v>
      </c>
      <c r="D13" s="3" t="s">
        <v>38</v>
      </c>
      <c r="E13" s="3">
        <v>8</v>
      </c>
      <c r="F13" s="3">
        <v>50</v>
      </c>
      <c r="G13" s="11">
        <v>45309</v>
      </c>
      <c r="H13" s="5">
        <f t="shared" si="0"/>
        <v>400</v>
      </c>
    </row>
    <row r="14" spans="1:11" x14ac:dyDescent="0.35">
      <c r="A14" s="3">
        <v>1011</v>
      </c>
      <c r="B14" s="3" t="s">
        <v>55</v>
      </c>
      <c r="C14" s="3" t="s">
        <v>43</v>
      </c>
      <c r="D14" s="3" t="s">
        <v>48</v>
      </c>
      <c r="E14" s="3">
        <v>40</v>
      </c>
      <c r="F14" s="3">
        <v>5</v>
      </c>
      <c r="G14" s="11">
        <v>45310</v>
      </c>
      <c r="H14" s="5">
        <f t="shared" si="0"/>
        <v>200</v>
      </c>
    </row>
    <row r="15" spans="1:11" x14ac:dyDescent="0.35">
      <c r="A15" s="3">
        <v>1012</v>
      </c>
      <c r="B15" s="3" t="s">
        <v>56</v>
      </c>
      <c r="C15" s="3" t="s">
        <v>46</v>
      </c>
      <c r="D15" s="3" t="s">
        <v>51</v>
      </c>
      <c r="E15" s="3">
        <v>35</v>
      </c>
      <c r="F15" s="3">
        <v>8</v>
      </c>
      <c r="G15" s="11">
        <v>45311</v>
      </c>
      <c r="H15" s="5">
        <f t="shared" si="0"/>
        <v>280</v>
      </c>
    </row>
    <row r="16" spans="1:11" x14ac:dyDescent="0.35">
      <c r="A16" s="3">
        <v>1013</v>
      </c>
      <c r="B16" s="3" t="s">
        <v>57</v>
      </c>
      <c r="C16" s="3" t="s">
        <v>37</v>
      </c>
      <c r="D16" s="3" t="s">
        <v>38</v>
      </c>
      <c r="E16" s="3">
        <v>14</v>
      </c>
      <c r="F16" s="3">
        <v>50</v>
      </c>
      <c r="G16" s="11">
        <v>45313</v>
      </c>
      <c r="H16" s="5">
        <f t="shared" si="0"/>
        <v>700</v>
      </c>
    </row>
    <row r="17" spans="1:8" x14ac:dyDescent="0.35">
      <c r="A17" s="3">
        <v>1014</v>
      </c>
      <c r="B17" s="3" t="s">
        <v>58</v>
      </c>
      <c r="C17" s="3" t="s">
        <v>40</v>
      </c>
      <c r="D17" s="3" t="s">
        <v>41</v>
      </c>
      <c r="E17" s="3">
        <v>28</v>
      </c>
      <c r="F17" s="3">
        <v>10</v>
      </c>
      <c r="G17" s="11">
        <v>45314</v>
      </c>
      <c r="H17" s="5">
        <f t="shared" si="0"/>
        <v>280</v>
      </c>
    </row>
    <row r="18" spans="1:8" x14ac:dyDescent="0.35">
      <c r="A18" s="3">
        <v>1015</v>
      </c>
      <c r="B18" s="3" t="s">
        <v>59</v>
      </c>
      <c r="C18" s="3" t="s">
        <v>43</v>
      </c>
      <c r="D18" s="3" t="s">
        <v>44</v>
      </c>
      <c r="E18" s="3">
        <v>12</v>
      </c>
      <c r="F18" s="3">
        <v>25</v>
      </c>
      <c r="G18" s="11">
        <v>45315</v>
      </c>
      <c r="H18" s="5">
        <f t="shared" si="0"/>
        <v>300</v>
      </c>
    </row>
    <row r="19" spans="1:8" x14ac:dyDescent="0.35">
      <c r="A19" s="3">
        <v>1016</v>
      </c>
      <c r="B19" s="3" t="s">
        <v>60</v>
      </c>
      <c r="C19" s="3" t="s">
        <v>46</v>
      </c>
      <c r="D19" s="3" t="s">
        <v>48</v>
      </c>
      <c r="E19" s="3">
        <v>25</v>
      </c>
      <c r="F19" s="3">
        <v>5</v>
      </c>
      <c r="G19" s="11">
        <v>45317</v>
      </c>
      <c r="H19" s="5">
        <f t="shared" si="0"/>
        <v>125</v>
      </c>
    </row>
    <row r="20" spans="1:8" x14ac:dyDescent="0.35">
      <c r="A20" s="3">
        <v>1017</v>
      </c>
      <c r="B20" s="3" t="s">
        <v>61</v>
      </c>
      <c r="C20" s="3" t="s">
        <v>37</v>
      </c>
      <c r="D20" s="3" t="s">
        <v>51</v>
      </c>
      <c r="E20" s="3">
        <v>20</v>
      </c>
      <c r="F20" s="3">
        <v>8</v>
      </c>
      <c r="G20" s="11">
        <v>45319</v>
      </c>
      <c r="H20" s="5">
        <f t="shared" si="0"/>
        <v>160</v>
      </c>
    </row>
    <row r="21" spans="1:8" x14ac:dyDescent="0.35">
      <c r="A21" s="3">
        <v>1018</v>
      </c>
      <c r="B21" s="3" t="s">
        <v>62</v>
      </c>
      <c r="C21" s="3" t="s">
        <v>40</v>
      </c>
      <c r="D21" s="3" t="s">
        <v>38</v>
      </c>
      <c r="E21" s="3">
        <v>10</v>
      </c>
      <c r="F21" s="3">
        <v>50</v>
      </c>
      <c r="G21" s="11">
        <v>45320</v>
      </c>
      <c r="H21" s="5">
        <f t="shared" si="0"/>
        <v>500</v>
      </c>
    </row>
    <row r="22" spans="1:8" x14ac:dyDescent="0.35">
      <c r="A22" s="3">
        <v>1019</v>
      </c>
      <c r="B22" s="3" t="s">
        <v>63</v>
      </c>
      <c r="C22" s="3" t="s">
        <v>43</v>
      </c>
      <c r="D22" s="3" t="s">
        <v>41</v>
      </c>
      <c r="E22" s="3">
        <v>15</v>
      </c>
      <c r="F22" s="3">
        <v>10</v>
      </c>
      <c r="G22" s="11">
        <v>45321</v>
      </c>
      <c r="H22" s="5">
        <f t="shared" si="0"/>
        <v>150</v>
      </c>
    </row>
    <row r="23" spans="1:8" x14ac:dyDescent="0.35">
      <c r="A23" s="3">
        <v>1020</v>
      </c>
      <c r="B23" s="3" t="s">
        <v>64</v>
      </c>
      <c r="C23" s="3" t="s">
        <v>46</v>
      </c>
      <c r="D23" s="3" t="s">
        <v>44</v>
      </c>
      <c r="E23" s="3">
        <v>18</v>
      </c>
      <c r="F23" s="3">
        <v>25</v>
      </c>
      <c r="G23" s="11">
        <v>45323</v>
      </c>
      <c r="H23" s="5">
        <f t="shared" si="0"/>
        <v>450</v>
      </c>
    </row>
    <row r="24" spans="1:8" x14ac:dyDescent="0.35">
      <c r="A24" s="3">
        <v>1021</v>
      </c>
      <c r="B24" s="3" t="s">
        <v>65</v>
      </c>
      <c r="C24" s="3" t="s">
        <v>37</v>
      </c>
      <c r="D24" s="3" t="s">
        <v>38</v>
      </c>
      <c r="E24" s="3">
        <v>9</v>
      </c>
      <c r="F24" s="3">
        <v>50</v>
      </c>
      <c r="G24" s="11">
        <v>45324</v>
      </c>
      <c r="H24" s="5">
        <f t="shared" si="0"/>
        <v>450</v>
      </c>
    </row>
    <row r="25" spans="1:8" x14ac:dyDescent="0.35">
      <c r="A25" s="3">
        <v>1022</v>
      </c>
      <c r="B25" s="3" t="s">
        <v>66</v>
      </c>
      <c r="C25" s="3" t="s">
        <v>40</v>
      </c>
      <c r="D25" s="3" t="s">
        <v>48</v>
      </c>
      <c r="E25" s="3">
        <v>35</v>
      </c>
      <c r="F25" s="3">
        <v>5</v>
      </c>
      <c r="G25" s="11">
        <v>45325</v>
      </c>
      <c r="H25" s="5">
        <f t="shared" si="0"/>
        <v>175</v>
      </c>
    </row>
    <row r="26" spans="1:8" x14ac:dyDescent="0.35">
      <c r="A26" s="3">
        <v>1023</v>
      </c>
      <c r="B26" s="3" t="s">
        <v>67</v>
      </c>
      <c r="C26" s="3" t="s">
        <v>43</v>
      </c>
      <c r="D26" s="3" t="s">
        <v>51</v>
      </c>
      <c r="E26" s="3">
        <v>30</v>
      </c>
      <c r="F26" s="3">
        <v>8</v>
      </c>
      <c r="G26" s="11">
        <v>45326</v>
      </c>
      <c r="H26" s="5">
        <f t="shared" si="0"/>
        <v>240</v>
      </c>
    </row>
    <row r="27" spans="1:8" x14ac:dyDescent="0.35">
      <c r="A27" s="3">
        <v>1024</v>
      </c>
      <c r="B27" s="3" t="s">
        <v>68</v>
      </c>
      <c r="C27" s="3" t="s">
        <v>46</v>
      </c>
      <c r="D27" s="3" t="s">
        <v>38</v>
      </c>
      <c r="E27" s="3">
        <v>11</v>
      </c>
      <c r="F27" s="3">
        <v>50</v>
      </c>
      <c r="G27" s="11">
        <v>45328</v>
      </c>
      <c r="H27" s="5">
        <f t="shared" si="0"/>
        <v>550</v>
      </c>
    </row>
    <row r="28" spans="1:8" x14ac:dyDescent="0.35">
      <c r="A28" s="3">
        <v>1025</v>
      </c>
      <c r="B28" s="3" t="s">
        <v>69</v>
      </c>
      <c r="C28" s="3" t="s">
        <v>37</v>
      </c>
      <c r="D28" s="3" t="s">
        <v>41</v>
      </c>
      <c r="E28" s="3">
        <v>14</v>
      </c>
      <c r="F28" s="3">
        <v>10</v>
      </c>
      <c r="G28" s="11">
        <v>45329</v>
      </c>
      <c r="H28" s="5">
        <f t="shared" si="0"/>
        <v>140</v>
      </c>
    </row>
    <row r="29" spans="1:8" x14ac:dyDescent="0.35">
      <c r="A29" s="3">
        <v>1026</v>
      </c>
      <c r="B29" s="3" t="s">
        <v>70</v>
      </c>
      <c r="C29" s="3" t="s">
        <v>40</v>
      </c>
      <c r="D29" s="3" t="s">
        <v>44</v>
      </c>
      <c r="E29" s="3">
        <v>16</v>
      </c>
      <c r="F29" s="3">
        <v>25</v>
      </c>
      <c r="G29" s="11">
        <v>45330</v>
      </c>
      <c r="H29" s="5">
        <f t="shared" si="0"/>
        <v>400</v>
      </c>
    </row>
    <row r="30" spans="1:8" x14ac:dyDescent="0.35">
      <c r="A30" s="3">
        <v>1027</v>
      </c>
      <c r="B30" s="3" t="s">
        <v>71</v>
      </c>
      <c r="C30" s="3" t="s">
        <v>43</v>
      </c>
      <c r="D30" s="3" t="s">
        <v>48</v>
      </c>
      <c r="E30" s="3">
        <v>22</v>
      </c>
      <c r="F30" s="3">
        <v>5</v>
      </c>
      <c r="G30" s="11">
        <v>45331</v>
      </c>
      <c r="H30" s="5">
        <f t="shared" si="0"/>
        <v>110</v>
      </c>
    </row>
    <row r="31" spans="1:8" x14ac:dyDescent="0.35">
      <c r="A31" s="3">
        <v>1028</v>
      </c>
      <c r="B31" s="3" t="s">
        <v>72</v>
      </c>
      <c r="C31" s="3" t="s">
        <v>46</v>
      </c>
      <c r="D31" s="3" t="s">
        <v>51</v>
      </c>
      <c r="E31" s="3">
        <v>27</v>
      </c>
      <c r="F31" s="3">
        <v>8</v>
      </c>
      <c r="G31" s="11">
        <v>45332</v>
      </c>
      <c r="H31" s="5">
        <f t="shared" si="0"/>
        <v>216</v>
      </c>
    </row>
    <row r="32" spans="1:8" x14ac:dyDescent="0.35">
      <c r="A32" s="3">
        <v>1029</v>
      </c>
      <c r="B32" s="3" t="s">
        <v>73</v>
      </c>
      <c r="C32" s="3" t="s">
        <v>37</v>
      </c>
      <c r="D32" s="3" t="s">
        <v>38</v>
      </c>
      <c r="E32" s="3">
        <v>13</v>
      </c>
      <c r="F32" s="3">
        <v>50</v>
      </c>
      <c r="G32" s="11">
        <v>45334</v>
      </c>
      <c r="H32" s="5">
        <f t="shared" si="0"/>
        <v>650</v>
      </c>
    </row>
    <row r="33" spans="1:8" x14ac:dyDescent="0.35">
      <c r="A33" s="3">
        <v>1030</v>
      </c>
      <c r="B33" s="3" t="s">
        <v>74</v>
      </c>
      <c r="C33" s="3" t="s">
        <v>40</v>
      </c>
      <c r="D33" s="3" t="s">
        <v>41</v>
      </c>
      <c r="E33" s="3">
        <v>32</v>
      </c>
      <c r="F33" s="3">
        <v>10</v>
      </c>
      <c r="G33" s="11">
        <v>45335</v>
      </c>
      <c r="H33" s="5">
        <f t="shared" si="0"/>
        <v>320</v>
      </c>
    </row>
    <row r="34" spans="1:8" x14ac:dyDescent="0.35">
      <c r="A34" s="3">
        <v>1031</v>
      </c>
      <c r="B34" s="3" t="s">
        <v>75</v>
      </c>
      <c r="C34" s="3" t="s">
        <v>43</v>
      </c>
      <c r="D34" s="3" t="s">
        <v>44</v>
      </c>
      <c r="E34" s="3">
        <v>10</v>
      </c>
      <c r="F34" s="3">
        <v>25</v>
      </c>
      <c r="G34" s="11">
        <v>45336</v>
      </c>
      <c r="H34" s="5">
        <f t="shared" si="0"/>
        <v>250</v>
      </c>
    </row>
    <row r="35" spans="1:8" x14ac:dyDescent="0.35">
      <c r="A35" s="3">
        <v>1032</v>
      </c>
      <c r="B35" s="3" t="s">
        <v>76</v>
      </c>
      <c r="C35" s="3" t="s">
        <v>46</v>
      </c>
      <c r="D35" s="3" t="s">
        <v>48</v>
      </c>
      <c r="E35" s="3">
        <v>18</v>
      </c>
      <c r="F35" s="3">
        <v>5</v>
      </c>
      <c r="G35" s="11">
        <v>45338</v>
      </c>
      <c r="H35" s="5">
        <f t="shared" si="0"/>
        <v>90</v>
      </c>
    </row>
    <row r="36" spans="1:8" x14ac:dyDescent="0.35">
      <c r="A36" s="3">
        <v>1033</v>
      </c>
      <c r="B36" s="3" t="s">
        <v>77</v>
      </c>
      <c r="C36" s="3" t="s">
        <v>37</v>
      </c>
      <c r="D36" s="3" t="s">
        <v>51</v>
      </c>
      <c r="E36" s="3">
        <v>22</v>
      </c>
      <c r="F36" s="3">
        <v>8</v>
      </c>
      <c r="G36" s="11">
        <v>45339</v>
      </c>
      <c r="H36" s="5">
        <f t="shared" si="0"/>
        <v>176</v>
      </c>
    </row>
    <row r="37" spans="1:8" x14ac:dyDescent="0.35">
      <c r="A37" s="3">
        <v>1034</v>
      </c>
      <c r="B37" s="3" t="s">
        <v>78</v>
      </c>
      <c r="C37" s="3" t="s">
        <v>40</v>
      </c>
      <c r="D37" s="3" t="s">
        <v>38</v>
      </c>
      <c r="E37" s="3">
        <v>17</v>
      </c>
      <c r="F37" s="3">
        <v>50</v>
      </c>
      <c r="G37" s="11">
        <v>45340</v>
      </c>
      <c r="H37" s="5">
        <f t="shared" si="0"/>
        <v>850</v>
      </c>
    </row>
    <row r="38" spans="1:8" x14ac:dyDescent="0.35">
      <c r="A38" s="3">
        <v>1035</v>
      </c>
      <c r="B38" s="3" t="s">
        <v>79</v>
      </c>
      <c r="C38" s="3" t="s">
        <v>43</v>
      </c>
      <c r="D38" s="3" t="s">
        <v>41</v>
      </c>
      <c r="E38" s="3">
        <v>19</v>
      </c>
      <c r="F38" s="3">
        <v>10</v>
      </c>
      <c r="G38" s="11">
        <v>45341</v>
      </c>
      <c r="H38" s="5">
        <f t="shared" si="0"/>
        <v>190</v>
      </c>
    </row>
    <row r="39" spans="1:8" x14ac:dyDescent="0.35">
      <c r="A39" s="3">
        <v>1036</v>
      </c>
      <c r="B39" s="3" t="s">
        <v>80</v>
      </c>
      <c r="C39" s="3" t="s">
        <v>46</v>
      </c>
      <c r="D39" s="3" t="s">
        <v>44</v>
      </c>
      <c r="E39" s="3">
        <v>15</v>
      </c>
      <c r="F39" s="3">
        <v>25</v>
      </c>
      <c r="G39" s="11">
        <v>45343</v>
      </c>
      <c r="H39" s="5">
        <f t="shared" si="0"/>
        <v>375</v>
      </c>
    </row>
    <row r="40" spans="1:8" x14ac:dyDescent="0.35">
      <c r="A40" s="3">
        <v>1037</v>
      </c>
      <c r="B40" s="3" t="s">
        <v>81</v>
      </c>
      <c r="C40" s="3" t="s">
        <v>37</v>
      </c>
      <c r="D40" s="3" t="s">
        <v>48</v>
      </c>
      <c r="E40" s="3">
        <v>28</v>
      </c>
      <c r="F40" s="3">
        <v>5</v>
      </c>
      <c r="G40" s="11">
        <v>45344</v>
      </c>
      <c r="H40" s="5">
        <f t="shared" si="0"/>
        <v>140</v>
      </c>
    </row>
    <row r="41" spans="1:8" x14ac:dyDescent="0.35">
      <c r="A41" s="3">
        <v>1038</v>
      </c>
      <c r="B41" s="3" t="s">
        <v>82</v>
      </c>
      <c r="C41" s="3" t="s">
        <v>40</v>
      </c>
      <c r="D41" s="3" t="s">
        <v>51</v>
      </c>
      <c r="E41" s="3">
        <v>24</v>
      </c>
      <c r="F41" s="3">
        <v>8</v>
      </c>
      <c r="G41" s="11">
        <v>45345</v>
      </c>
      <c r="H41" s="5">
        <f t="shared" si="0"/>
        <v>192</v>
      </c>
    </row>
    <row r="42" spans="1:8" x14ac:dyDescent="0.35">
      <c r="A42" s="3">
        <v>1039</v>
      </c>
      <c r="B42" s="3" t="s">
        <v>83</v>
      </c>
      <c r="C42" s="3" t="s">
        <v>43</v>
      </c>
      <c r="D42" s="3" t="s">
        <v>38</v>
      </c>
      <c r="E42" s="3">
        <v>16</v>
      </c>
      <c r="F42" s="3">
        <v>50</v>
      </c>
      <c r="G42" s="11">
        <v>45347</v>
      </c>
      <c r="H42" s="5">
        <f t="shared" si="0"/>
        <v>800</v>
      </c>
    </row>
    <row r="43" spans="1:8" x14ac:dyDescent="0.35">
      <c r="A43" s="3">
        <v>1040</v>
      </c>
      <c r="B43" s="3" t="s">
        <v>84</v>
      </c>
      <c r="C43" s="3" t="s">
        <v>46</v>
      </c>
      <c r="D43" s="3" t="s">
        <v>41</v>
      </c>
      <c r="E43" s="3">
        <v>27</v>
      </c>
      <c r="F43" s="3">
        <v>10</v>
      </c>
      <c r="G43" s="11">
        <v>45348</v>
      </c>
      <c r="H43" s="5">
        <f t="shared" si="0"/>
        <v>270</v>
      </c>
    </row>
    <row r="44" spans="1:8" x14ac:dyDescent="0.35">
      <c r="A44" s="3">
        <v>1041</v>
      </c>
      <c r="B44" s="3" t="s">
        <v>85</v>
      </c>
      <c r="C44" s="3" t="s">
        <v>37</v>
      </c>
      <c r="D44" s="3" t="s">
        <v>44</v>
      </c>
      <c r="E44" s="3">
        <v>21</v>
      </c>
      <c r="F44" s="3">
        <v>25</v>
      </c>
      <c r="G44" s="11">
        <v>45349</v>
      </c>
      <c r="H44" s="5">
        <f t="shared" si="0"/>
        <v>525</v>
      </c>
    </row>
    <row r="45" spans="1:8" x14ac:dyDescent="0.35">
      <c r="A45" s="3">
        <v>1042</v>
      </c>
      <c r="B45" s="3" t="s">
        <v>86</v>
      </c>
      <c r="C45" s="3" t="s">
        <v>40</v>
      </c>
      <c r="D45" s="3" t="s">
        <v>48</v>
      </c>
      <c r="E45" s="3">
        <v>30</v>
      </c>
      <c r="F45" s="3">
        <v>5</v>
      </c>
      <c r="G45" s="11">
        <v>45350</v>
      </c>
      <c r="H45" s="5">
        <f t="shared" si="0"/>
        <v>150</v>
      </c>
    </row>
    <row r="46" spans="1:8" x14ac:dyDescent="0.35">
      <c r="A46" s="3">
        <v>1043</v>
      </c>
      <c r="B46" s="3" t="s">
        <v>87</v>
      </c>
      <c r="C46" s="3" t="s">
        <v>43</v>
      </c>
      <c r="D46" s="3" t="s">
        <v>51</v>
      </c>
      <c r="E46" s="3">
        <v>26</v>
      </c>
      <c r="F46" s="3">
        <v>8</v>
      </c>
      <c r="G46" s="11">
        <v>45352</v>
      </c>
      <c r="H46" s="5">
        <f t="shared" si="0"/>
        <v>208</v>
      </c>
    </row>
    <row r="47" spans="1:8" x14ac:dyDescent="0.35">
      <c r="A47" s="3">
        <v>1044</v>
      </c>
      <c r="B47" s="3" t="s">
        <v>88</v>
      </c>
      <c r="C47" s="3" t="s">
        <v>46</v>
      </c>
      <c r="D47" s="3" t="s">
        <v>38</v>
      </c>
      <c r="E47" s="3">
        <v>14</v>
      </c>
      <c r="F47" s="3">
        <v>50</v>
      </c>
      <c r="G47" s="11">
        <v>45353</v>
      </c>
      <c r="H47" s="5">
        <f t="shared" si="0"/>
        <v>700</v>
      </c>
    </row>
    <row r="48" spans="1:8" x14ac:dyDescent="0.35">
      <c r="A48" s="3">
        <v>1045</v>
      </c>
      <c r="B48" s="3" t="s">
        <v>89</v>
      </c>
      <c r="C48" s="3" t="s">
        <v>37</v>
      </c>
      <c r="D48" s="3" t="s">
        <v>41</v>
      </c>
      <c r="E48" s="3">
        <v>20</v>
      </c>
      <c r="F48" s="3">
        <v>10</v>
      </c>
      <c r="G48" s="11">
        <v>45354</v>
      </c>
      <c r="H48" s="5">
        <f t="shared" si="0"/>
        <v>200</v>
      </c>
    </row>
    <row r="49" spans="1:8" x14ac:dyDescent="0.35">
      <c r="A49" s="3">
        <v>1046</v>
      </c>
      <c r="B49" s="3" t="s">
        <v>90</v>
      </c>
      <c r="C49" s="3" t="s">
        <v>40</v>
      </c>
      <c r="D49" s="3" t="s">
        <v>44</v>
      </c>
      <c r="E49" s="3">
        <v>17</v>
      </c>
      <c r="F49" s="3">
        <v>25</v>
      </c>
      <c r="G49" s="11">
        <v>45355</v>
      </c>
      <c r="H49" s="5">
        <f t="shared" si="0"/>
        <v>425</v>
      </c>
    </row>
    <row r="50" spans="1:8" x14ac:dyDescent="0.35">
      <c r="A50" s="3">
        <v>1047</v>
      </c>
      <c r="B50" s="3" t="s">
        <v>91</v>
      </c>
      <c r="C50" s="3" t="s">
        <v>43</v>
      </c>
      <c r="D50" s="3" t="s">
        <v>48</v>
      </c>
      <c r="E50" s="3">
        <v>19</v>
      </c>
      <c r="F50" s="3">
        <v>5</v>
      </c>
      <c r="G50" s="11">
        <v>45356</v>
      </c>
      <c r="H50" s="5">
        <f t="shared" si="0"/>
        <v>95</v>
      </c>
    </row>
    <row r="51" spans="1:8" x14ac:dyDescent="0.35">
      <c r="A51" s="3">
        <v>1048</v>
      </c>
      <c r="B51" s="3" t="s">
        <v>92</v>
      </c>
      <c r="C51" s="3" t="s">
        <v>46</v>
      </c>
      <c r="D51" s="3" t="s">
        <v>51</v>
      </c>
      <c r="E51" s="3">
        <v>32</v>
      </c>
      <c r="F51" s="3">
        <v>8</v>
      </c>
      <c r="G51" s="11">
        <v>45357</v>
      </c>
      <c r="H51" s="5">
        <f t="shared" si="0"/>
        <v>256</v>
      </c>
    </row>
    <row r="52" spans="1:8" x14ac:dyDescent="0.35">
      <c r="A52" s="3">
        <v>1049</v>
      </c>
      <c r="B52" s="3" t="s">
        <v>93</v>
      </c>
      <c r="C52" s="3" t="s">
        <v>37</v>
      </c>
      <c r="D52" s="3" t="s">
        <v>38</v>
      </c>
      <c r="E52" s="3">
        <v>12</v>
      </c>
      <c r="F52" s="3">
        <v>50</v>
      </c>
      <c r="G52" s="11">
        <v>45358</v>
      </c>
      <c r="H52" s="5">
        <f t="shared" si="0"/>
        <v>600</v>
      </c>
    </row>
    <row r="53" spans="1:8" x14ac:dyDescent="0.35">
      <c r="A53" s="3">
        <v>1050</v>
      </c>
      <c r="B53" s="3" t="s">
        <v>94</v>
      </c>
      <c r="C53" s="3" t="s">
        <v>40</v>
      </c>
      <c r="D53" s="3" t="s">
        <v>41</v>
      </c>
      <c r="E53" s="3">
        <v>25</v>
      </c>
      <c r="F53" s="3">
        <v>10</v>
      </c>
      <c r="G53" s="11">
        <v>45359</v>
      </c>
      <c r="H53" s="5">
        <f t="shared" si="0"/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D0E5-AA8D-460D-9E7A-A13A91685F95}">
  <dimension ref="A1:K53"/>
  <sheetViews>
    <sheetView showGridLines="0" workbookViewId="0">
      <selection activeCell="I4" sqref="I4"/>
    </sheetView>
  </sheetViews>
  <sheetFormatPr defaultRowHeight="14.5" x14ac:dyDescent="0.35"/>
  <cols>
    <col min="1" max="1" width="7.54296875" bestFit="1" customWidth="1"/>
    <col min="2" max="2" width="13.90625" bestFit="1" customWidth="1"/>
    <col min="3" max="3" width="6.453125" bestFit="1" customWidth="1"/>
    <col min="4" max="4" width="9" bestFit="1" customWidth="1"/>
    <col min="5" max="5" width="8" bestFit="1" customWidth="1"/>
    <col min="6" max="6" width="8.26953125" bestFit="1" customWidth="1"/>
    <col min="7" max="7" width="10.08984375" bestFit="1" customWidth="1"/>
    <col min="8" max="8" width="5" bestFit="1" customWidth="1"/>
  </cols>
  <sheetData>
    <row r="1" spans="1:11" x14ac:dyDescent="0.35">
      <c r="A1" t="s">
        <v>97</v>
      </c>
    </row>
    <row r="3" spans="1:1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14" t="s">
        <v>27</v>
      </c>
      <c r="I3" s="13" t="s">
        <v>1</v>
      </c>
      <c r="J3" s="15" t="s">
        <v>32</v>
      </c>
      <c r="K3" t="s">
        <v>98</v>
      </c>
    </row>
    <row r="4" spans="1:11" x14ac:dyDescent="0.35">
      <c r="A4" s="3">
        <v>1001</v>
      </c>
      <c r="B4" s="3" t="s">
        <v>36</v>
      </c>
      <c r="C4" s="3" t="s">
        <v>37</v>
      </c>
      <c r="D4" s="3" t="s">
        <v>38</v>
      </c>
      <c r="E4" s="3">
        <v>10</v>
      </c>
      <c r="F4" s="3">
        <v>50</v>
      </c>
      <c r="G4" s="11">
        <v>45296</v>
      </c>
      <c r="H4" s="5">
        <f>E4*F4</f>
        <v>500</v>
      </c>
      <c r="J4" t="s">
        <v>51</v>
      </c>
      <c r="K4" s="16">
        <v>1928</v>
      </c>
    </row>
    <row r="5" spans="1:11" x14ac:dyDescent="0.35">
      <c r="A5" s="3">
        <v>1002</v>
      </c>
      <c r="B5" s="3" t="s">
        <v>39</v>
      </c>
      <c r="C5" s="3" t="s">
        <v>40</v>
      </c>
      <c r="D5" s="3" t="s">
        <v>41</v>
      </c>
      <c r="E5" s="3">
        <v>20</v>
      </c>
      <c r="F5" s="3">
        <v>10</v>
      </c>
      <c r="G5" s="11">
        <v>45297</v>
      </c>
      <c r="H5" s="5">
        <f t="shared" ref="H5:H53" si="0">E5*F5</f>
        <v>200</v>
      </c>
      <c r="J5" t="s">
        <v>44</v>
      </c>
      <c r="K5" s="16">
        <v>3650</v>
      </c>
    </row>
    <row r="6" spans="1:11" x14ac:dyDescent="0.35">
      <c r="A6" s="3">
        <v>1003</v>
      </c>
      <c r="B6" s="3" t="s">
        <v>42</v>
      </c>
      <c r="C6" s="3" t="s">
        <v>43</v>
      </c>
      <c r="D6" s="3" t="s">
        <v>44</v>
      </c>
      <c r="E6" s="3">
        <v>15</v>
      </c>
      <c r="F6" s="3">
        <v>25</v>
      </c>
      <c r="G6" s="11">
        <v>45298</v>
      </c>
      <c r="H6" s="5">
        <f t="shared" si="0"/>
        <v>375</v>
      </c>
      <c r="J6" t="s">
        <v>38</v>
      </c>
      <c r="K6" s="16">
        <v>7550</v>
      </c>
    </row>
    <row r="7" spans="1:11" x14ac:dyDescent="0.35">
      <c r="A7" s="3">
        <v>1004</v>
      </c>
      <c r="B7" s="3" t="s">
        <v>45</v>
      </c>
      <c r="C7" s="3" t="s">
        <v>46</v>
      </c>
      <c r="D7" s="3" t="s">
        <v>38</v>
      </c>
      <c r="E7" s="3">
        <v>5</v>
      </c>
      <c r="F7" s="3">
        <v>50</v>
      </c>
      <c r="G7" s="11">
        <v>45299</v>
      </c>
      <c r="H7" s="5">
        <f t="shared" si="0"/>
        <v>250</v>
      </c>
      <c r="J7" t="s">
        <v>41</v>
      </c>
      <c r="K7" s="16">
        <v>2180</v>
      </c>
    </row>
    <row r="8" spans="1:11" x14ac:dyDescent="0.35">
      <c r="A8" s="3">
        <v>1005</v>
      </c>
      <c r="B8" s="3" t="s">
        <v>47</v>
      </c>
      <c r="C8" s="3" t="s">
        <v>37</v>
      </c>
      <c r="D8" s="3" t="s">
        <v>48</v>
      </c>
      <c r="E8" s="3">
        <v>30</v>
      </c>
      <c r="F8" s="3">
        <v>5</v>
      </c>
      <c r="G8" s="11">
        <v>45301</v>
      </c>
      <c r="H8" s="5">
        <f t="shared" si="0"/>
        <v>150</v>
      </c>
      <c r="J8" t="s">
        <v>48</v>
      </c>
      <c r="K8" s="16">
        <v>1235</v>
      </c>
    </row>
    <row r="9" spans="1:11" x14ac:dyDescent="0.35">
      <c r="A9" s="3">
        <v>1006</v>
      </c>
      <c r="B9" s="3" t="s">
        <v>49</v>
      </c>
      <c r="C9" s="3" t="s">
        <v>40</v>
      </c>
      <c r="D9" s="3" t="s">
        <v>38</v>
      </c>
      <c r="E9" s="3">
        <v>12</v>
      </c>
      <c r="F9" s="3">
        <v>50</v>
      </c>
      <c r="G9" s="11">
        <v>45302</v>
      </c>
      <c r="H9" s="5">
        <f t="shared" si="0"/>
        <v>600</v>
      </c>
    </row>
    <row r="10" spans="1:11" x14ac:dyDescent="0.35">
      <c r="A10" s="3">
        <v>1007</v>
      </c>
      <c r="B10" s="3" t="s">
        <v>50</v>
      </c>
      <c r="C10" s="3" t="s">
        <v>43</v>
      </c>
      <c r="D10" s="3" t="s">
        <v>51</v>
      </c>
      <c r="E10" s="3">
        <v>25</v>
      </c>
      <c r="F10" s="3">
        <v>8</v>
      </c>
      <c r="G10" s="11">
        <v>45304</v>
      </c>
      <c r="H10" s="5">
        <f t="shared" si="0"/>
        <v>200</v>
      </c>
    </row>
    <row r="11" spans="1:11" x14ac:dyDescent="0.35">
      <c r="A11" s="3">
        <v>1008</v>
      </c>
      <c r="B11" s="3" t="s">
        <v>52</v>
      </c>
      <c r="C11" s="3" t="s">
        <v>46</v>
      </c>
      <c r="D11" s="3" t="s">
        <v>41</v>
      </c>
      <c r="E11" s="3">
        <v>18</v>
      </c>
      <c r="F11" s="3">
        <v>10</v>
      </c>
      <c r="G11" s="11">
        <v>45306</v>
      </c>
      <c r="H11" s="5">
        <f t="shared" si="0"/>
        <v>180</v>
      </c>
    </row>
    <row r="12" spans="1:11" x14ac:dyDescent="0.35">
      <c r="A12" s="3">
        <v>1009</v>
      </c>
      <c r="B12" s="3" t="s">
        <v>53</v>
      </c>
      <c r="C12" s="3" t="s">
        <v>37</v>
      </c>
      <c r="D12" s="3" t="s">
        <v>44</v>
      </c>
      <c r="E12" s="3">
        <v>22</v>
      </c>
      <c r="F12" s="3">
        <v>25</v>
      </c>
      <c r="G12" s="11">
        <v>45308</v>
      </c>
      <c r="H12" s="5">
        <f t="shared" si="0"/>
        <v>550</v>
      </c>
    </row>
    <row r="13" spans="1:11" x14ac:dyDescent="0.35">
      <c r="A13" s="3">
        <v>1010</v>
      </c>
      <c r="B13" s="3" t="s">
        <v>54</v>
      </c>
      <c r="C13" s="3" t="s">
        <v>40</v>
      </c>
      <c r="D13" s="3" t="s">
        <v>38</v>
      </c>
      <c r="E13" s="3">
        <v>8</v>
      </c>
      <c r="F13" s="3">
        <v>50</v>
      </c>
      <c r="G13" s="11">
        <v>45309</v>
      </c>
      <c r="H13" s="5">
        <f t="shared" si="0"/>
        <v>400</v>
      </c>
    </row>
    <row r="14" spans="1:11" x14ac:dyDescent="0.35">
      <c r="A14" s="3">
        <v>1011</v>
      </c>
      <c r="B14" s="3" t="s">
        <v>55</v>
      </c>
      <c r="C14" s="3" t="s">
        <v>43</v>
      </c>
      <c r="D14" s="3" t="s">
        <v>48</v>
      </c>
      <c r="E14" s="3">
        <v>40</v>
      </c>
      <c r="F14" s="3">
        <v>5</v>
      </c>
      <c r="G14" s="11">
        <v>45310</v>
      </c>
      <c r="H14" s="5">
        <f t="shared" si="0"/>
        <v>200</v>
      </c>
    </row>
    <row r="15" spans="1:11" x14ac:dyDescent="0.35">
      <c r="A15" s="3">
        <v>1012</v>
      </c>
      <c r="B15" s="3" t="s">
        <v>56</v>
      </c>
      <c r="C15" s="3" t="s">
        <v>46</v>
      </c>
      <c r="D15" s="3" t="s">
        <v>51</v>
      </c>
      <c r="E15" s="3">
        <v>35</v>
      </c>
      <c r="F15" s="3">
        <v>8</v>
      </c>
      <c r="G15" s="11">
        <v>45311</v>
      </c>
      <c r="H15" s="5">
        <f t="shared" si="0"/>
        <v>280</v>
      </c>
    </row>
    <row r="16" spans="1:11" x14ac:dyDescent="0.35">
      <c r="A16" s="3">
        <v>1013</v>
      </c>
      <c r="B16" s="3" t="s">
        <v>57</v>
      </c>
      <c r="C16" s="3" t="s">
        <v>37</v>
      </c>
      <c r="D16" s="3" t="s">
        <v>38</v>
      </c>
      <c r="E16" s="3">
        <v>14</v>
      </c>
      <c r="F16" s="3">
        <v>50</v>
      </c>
      <c r="G16" s="11">
        <v>45313</v>
      </c>
      <c r="H16" s="5">
        <f t="shared" si="0"/>
        <v>700</v>
      </c>
    </row>
    <row r="17" spans="1:8" x14ac:dyDescent="0.35">
      <c r="A17" s="3">
        <v>1014</v>
      </c>
      <c r="B17" s="3" t="s">
        <v>58</v>
      </c>
      <c r="C17" s="3" t="s">
        <v>40</v>
      </c>
      <c r="D17" s="3" t="s">
        <v>41</v>
      </c>
      <c r="E17" s="3">
        <v>28</v>
      </c>
      <c r="F17" s="3">
        <v>10</v>
      </c>
      <c r="G17" s="11">
        <v>45314</v>
      </c>
      <c r="H17" s="5">
        <f t="shared" si="0"/>
        <v>280</v>
      </c>
    </row>
    <row r="18" spans="1:8" x14ac:dyDescent="0.35">
      <c r="A18" s="3">
        <v>1015</v>
      </c>
      <c r="B18" s="3" t="s">
        <v>59</v>
      </c>
      <c r="C18" s="3" t="s">
        <v>43</v>
      </c>
      <c r="D18" s="3" t="s">
        <v>44</v>
      </c>
      <c r="E18" s="3">
        <v>12</v>
      </c>
      <c r="F18" s="3">
        <v>25</v>
      </c>
      <c r="G18" s="11">
        <v>45315</v>
      </c>
      <c r="H18" s="5">
        <f t="shared" si="0"/>
        <v>300</v>
      </c>
    </row>
    <row r="19" spans="1:8" x14ac:dyDescent="0.35">
      <c r="A19" s="3">
        <v>1016</v>
      </c>
      <c r="B19" s="3" t="s">
        <v>60</v>
      </c>
      <c r="C19" s="3" t="s">
        <v>46</v>
      </c>
      <c r="D19" s="3" t="s">
        <v>48</v>
      </c>
      <c r="E19" s="3">
        <v>25</v>
      </c>
      <c r="F19" s="3">
        <v>5</v>
      </c>
      <c r="G19" s="11">
        <v>45317</v>
      </c>
      <c r="H19" s="5">
        <f t="shared" si="0"/>
        <v>125</v>
      </c>
    </row>
    <row r="20" spans="1:8" x14ac:dyDescent="0.35">
      <c r="A20" s="3">
        <v>1017</v>
      </c>
      <c r="B20" s="3" t="s">
        <v>61</v>
      </c>
      <c r="C20" s="3" t="s">
        <v>37</v>
      </c>
      <c r="D20" s="3" t="s">
        <v>51</v>
      </c>
      <c r="E20" s="3">
        <v>20</v>
      </c>
      <c r="F20" s="3">
        <v>8</v>
      </c>
      <c r="G20" s="11">
        <v>45319</v>
      </c>
      <c r="H20" s="5">
        <f t="shared" si="0"/>
        <v>160</v>
      </c>
    </row>
    <row r="21" spans="1:8" x14ac:dyDescent="0.35">
      <c r="A21" s="3">
        <v>1018</v>
      </c>
      <c r="B21" s="3" t="s">
        <v>62</v>
      </c>
      <c r="C21" s="3" t="s">
        <v>40</v>
      </c>
      <c r="D21" s="3" t="s">
        <v>38</v>
      </c>
      <c r="E21" s="3">
        <v>10</v>
      </c>
      <c r="F21" s="3">
        <v>50</v>
      </c>
      <c r="G21" s="11">
        <v>45320</v>
      </c>
      <c r="H21" s="5">
        <f t="shared" si="0"/>
        <v>500</v>
      </c>
    </row>
    <row r="22" spans="1:8" x14ac:dyDescent="0.35">
      <c r="A22" s="3">
        <v>1019</v>
      </c>
      <c r="B22" s="3" t="s">
        <v>63</v>
      </c>
      <c r="C22" s="3" t="s">
        <v>43</v>
      </c>
      <c r="D22" s="3" t="s">
        <v>41</v>
      </c>
      <c r="E22" s="3">
        <v>15</v>
      </c>
      <c r="F22" s="3">
        <v>10</v>
      </c>
      <c r="G22" s="11">
        <v>45321</v>
      </c>
      <c r="H22" s="5">
        <f t="shared" si="0"/>
        <v>150</v>
      </c>
    </row>
    <row r="23" spans="1:8" x14ac:dyDescent="0.35">
      <c r="A23" s="3">
        <v>1020</v>
      </c>
      <c r="B23" s="3" t="s">
        <v>64</v>
      </c>
      <c r="C23" s="3" t="s">
        <v>46</v>
      </c>
      <c r="D23" s="3" t="s">
        <v>44</v>
      </c>
      <c r="E23" s="3">
        <v>18</v>
      </c>
      <c r="F23" s="3">
        <v>25</v>
      </c>
      <c r="G23" s="11">
        <v>45323</v>
      </c>
      <c r="H23" s="5">
        <f t="shared" si="0"/>
        <v>450</v>
      </c>
    </row>
    <row r="24" spans="1:8" x14ac:dyDescent="0.35">
      <c r="A24" s="3">
        <v>1021</v>
      </c>
      <c r="B24" s="3" t="s">
        <v>65</v>
      </c>
      <c r="C24" s="3" t="s">
        <v>37</v>
      </c>
      <c r="D24" s="3" t="s">
        <v>38</v>
      </c>
      <c r="E24" s="3">
        <v>9</v>
      </c>
      <c r="F24" s="3">
        <v>50</v>
      </c>
      <c r="G24" s="11">
        <v>45324</v>
      </c>
      <c r="H24" s="5">
        <f t="shared" si="0"/>
        <v>450</v>
      </c>
    </row>
    <row r="25" spans="1:8" x14ac:dyDescent="0.35">
      <c r="A25" s="3">
        <v>1022</v>
      </c>
      <c r="B25" s="3" t="s">
        <v>66</v>
      </c>
      <c r="C25" s="3" t="s">
        <v>40</v>
      </c>
      <c r="D25" s="3" t="s">
        <v>48</v>
      </c>
      <c r="E25" s="3">
        <v>35</v>
      </c>
      <c r="F25" s="3">
        <v>5</v>
      </c>
      <c r="G25" s="11">
        <v>45325</v>
      </c>
      <c r="H25" s="5">
        <f t="shared" si="0"/>
        <v>175</v>
      </c>
    </row>
    <row r="26" spans="1:8" x14ac:dyDescent="0.35">
      <c r="A26" s="3">
        <v>1023</v>
      </c>
      <c r="B26" s="3" t="s">
        <v>67</v>
      </c>
      <c r="C26" s="3" t="s">
        <v>43</v>
      </c>
      <c r="D26" s="3" t="s">
        <v>51</v>
      </c>
      <c r="E26" s="3">
        <v>30</v>
      </c>
      <c r="F26" s="3">
        <v>8</v>
      </c>
      <c r="G26" s="11">
        <v>45326</v>
      </c>
      <c r="H26" s="5">
        <f t="shared" si="0"/>
        <v>240</v>
      </c>
    </row>
    <row r="27" spans="1:8" x14ac:dyDescent="0.35">
      <c r="A27" s="3">
        <v>1024</v>
      </c>
      <c r="B27" s="3" t="s">
        <v>68</v>
      </c>
      <c r="C27" s="3" t="s">
        <v>46</v>
      </c>
      <c r="D27" s="3" t="s">
        <v>38</v>
      </c>
      <c r="E27" s="3">
        <v>11</v>
      </c>
      <c r="F27" s="3">
        <v>50</v>
      </c>
      <c r="G27" s="11">
        <v>45328</v>
      </c>
      <c r="H27" s="5">
        <f t="shared" si="0"/>
        <v>550</v>
      </c>
    </row>
    <row r="28" spans="1:8" x14ac:dyDescent="0.35">
      <c r="A28" s="3">
        <v>1025</v>
      </c>
      <c r="B28" s="3" t="s">
        <v>69</v>
      </c>
      <c r="C28" s="3" t="s">
        <v>37</v>
      </c>
      <c r="D28" s="3" t="s">
        <v>41</v>
      </c>
      <c r="E28" s="3">
        <v>14</v>
      </c>
      <c r="F28" s="3">
        <v>10</v>
      </c>
      <c r="G28" s="11">
        <v>45329</v>
      </c>
      <c r="H28" s="5">
        <f t="shared" si="0"/>
        <v>140</v>
      </c>
    </row>
    <row r="29" spans="1:8" x14ac:dyDescent="0.35">
      <c r="A29" s="3">
        <v>1026</v>
      </c>
      <c r="B29" s="3" t="s">
        <v>70</v>
      </c>
      <c r="C29" s="3" t="s">
        <v>40</v>
      </c>
      <c r="D29" s="3" t="s">
        <v>44</v>
      </c>
      <c r="E29" s="3">
        <v>16</v>
      </c>
      <c r="F29" s="3">
        <v>25</v>
      </c>
      <c r="G29" s="11">
        <v>45330</v>
      </c>
      <c r="H29" s="5">
        <f t="shared" si="0"/>
        <v>400</v>
      </c>
    </row>
    <row r="30" spans="1:8" x14ac:dyDescent="0.35">
      <c r="A30" s="3">
        <v>1027</v>
      </c>
      <c r="B30" s="3" t="s">
        <v>71</v>
      </c>
      <c r="C30" s="3" t="s">
        <v>43</v>
      </c>
      <c r="D30" s="3" t="s">
        <v>48</v>
      </c>
      <c r="E30" s="3">
        <v>22</v>
      </c>
      <c r="F30" s="3">
        <v>5</v>
      </c>
      <c r="G30" s="11">
        <v>45331</v>
      </c>
      <c r="H30" s="5">
        <f t="shared" si="0"/>
        <v>110</v>
      </c>
    </row>
    <row r="31" spans="1:8" x14ac:dyDescent="0.35">
      <c r="A31" s="3">
        <v>1028</v>
      </c>
      <c r="B31" s="3" t="s">
        <v>72</v>
      </c>
      <c r="C31" s="3" t="s">
        <v>46</v>
      </c>
      <c r="D31" s="3" t="s">
        <v>51</v>
      </c>
      <c r="E31" s="3">
        <v>27</v>
      </c>
      <c r="F31" s="3">
        <v>8</v>
      </c>
      <c r="G31" s="11">
        <v>45332</v>
      </c>
      <c r="H31" s="5">
        <f t="shared" si="0"/>
        <v>216</v>
      </c>
    </row>
    <row r="32" spans="1:8" x14ac:dyDescent="0.35">
      <c r="A32" s="3">
        <v>1029</v>
      </c>
      <c r="B32" s="3" t="s">
        <v>73</v>
      </c>
      <c r="C32" s="3" t="s">
        <v>37</v>
      </c>
      <c r="D32" s="3" t="s">
        <v>38</v>
      </c>
      <c r="E32" s="3">
        <v>13</v>
      </c>
      <c r="F32" s="3">
        <v>50</v>
      </c>
      <c r="G32" s="11">
        <v>45334</v>
      </c>
      <c r="H32" s="5">
        <f t="shared" si="0"/>
        <v>650</v>
      </c>
    </row>
    <row r="33" spans="1:8" x14ac:dyDescent="0.35">
      <c r="A33" s="3">
        <v>1030</v>
      </c>
      <c r="B33" s="3" t="s">
        <v>74</v>
      </c>
      <c r="C33" s="3" t="s">
        <v>40</v>
      </c>
      <c r="D33" s="3" t="s">
        <v>41</v>
      </c>
      <c r="E33" s="3">
        <v>32</v>
      </c>
      <c r="F33" s="3">
        <v>10</v>
      </c>
      <c r="G33" s="11">
        <v>45335</v>
      </c>
      <c r="H33" s="5">
        <f t="shared" si="0"/>
        <v>320</v>
      </c>
    </row>
    <row r="34" spans="1:8" x14ac:dyDescent="0.35">
      <c r="A34" s="3">
        <v>1031</v>
      </c>
      <c r="B34" s="3" t="s">
        <v>75</v>
      </c>
      <c r="C34" s="3" t="s">
        <v>43</v>
      </c>
      <c r="D34" s="3" t="s">
        <v>44</v>
      </c>
      <c r="E34" s="3">
        <v>10</v>
      </c>
      <c r="F34" s="3">
        <v>25</v>
      </c>
      <c r="G34" s="11">
        <v>45336</v>
      </c>
      <c r="H34" s="5">
        <f t="shared" si="0"/>
        <v>250</v>
      </c>
    </row>
    <row r="35" spans="1:8" x14ac:dyDescent="0.35">
      <c r="A35" s="3">
        <v>1032</v>
      </c>
      <c r="B35" s="3" t="s">
        <v>76</v>
      </c>
      <c r="C35" s="3" t="s">
        <v>46</v>
      </c>
      <c r="D35" s="3" t="s">
        <v>48</v>
      </c>
      <c r="E35" s="3">
        <v>18</v>
      </c>
      <c r="F35" s="3">
        <v>5</v>
      </c>
      <c r="G35" s="11">
        <v>45338</v>
      </c>
      <c r="H35" s="5">
        <f t="shared" si="0"/>
        <v>90</v>
      </c>
    </row>
    <row r="36" spans="1:8" x14ac:dyDescent="0.35">
      <c r="A36" s="3">
        <v>1033</v>
      </c>
      <c r="B36" s="3" t="s">
        <v>77</v>
      </c>
      <c r="C36" s="3" t="s">
        <v>37</v>
      </c>
      <c r="D36" s="3" t="s">
        <v>51</v>
      </c>
      <c r="E36" s="3">
        <v>22</v>
      </c>
      <c r="F36" s="3">
        <v>8</v>
      </c>
      <c r="G36" s="11">
        <v>45339</v>
      </c>
      <c r="H36" s="5">
        <f t="shared" si="0"/>
        <v>176</v>
      </c>
    </row>
    <row r="37" spans="1:8" x14ac:dyDescent="0.35">
      <c r="A37" s="3">
        <v>1034</v>
      </c>
      <c r="B37" s="3" t="s">
        <v>78</v>
      </c>
      <c r="C37" s="3" t="s">
        <v>40</v>
      </c>
      <c r="D37" s="3" t="s">
        <v>38</v>
      </c>
      <c r="E37" s="3">
        <v>17</v>
      </c>
      <c r="F37" s="3">
        <v>50</v>
      </c>
      <c r="G37" s="11">
        <v>45340</v>
      </c>
      <c r="H37" s="5">
        <f t="shared" si="0"/>
        <v>850</v>
      </c>
    </row>
    <row r="38" spans="1:8" x14ac:dyDescent="0.35">
      <c r="A38" s="3">
        <v>1035</v>
      </c>
      <c r="B38" s="3" t="s">
        <v>79</v>
      </c>
      <c r="C38" s="3" t="s">
        <v>43</v>
      </c>
      <c r="D38" s="3" t="s">
        <v>41</v>
      </c>
      <c r="E38" s="3">
        <v>19</v>
      </c>
      <c r="F38" s="3">
        <v>10</v>
      </c>
      <c r="G38" s="11">
        <v>45341</v>
      </c>
      <c r="H38" s="5">
        <f t="shared" si="0"/>
        <v>190</v>
      </c>
    </row>
    <row r="39" spans="1:8" x14ac:dyDescent="0.35">
      <c r="A39" s="3">
        <v>1036</v>
      </c>
      <c r="B39" s="3" t="s">
        <v>80</v>
      </c>
      <c r="C39" s="3" t="s">
        <v>46</v>
      </c>
      <c r="D39" s="3" t="s">
        <v>44</v>
      </c>
      <c r="E39" s="3">
        <v>15</v>
      </c>
      <c r="F39" s="3">
        <v>25</v>
      </c>
      <c r="G39" s="11">
        <v>45343</v>
      </c>
      <c r="H39" s="5">
        <f t="shared" si="0"/>
        <v>375</v>
      </c>
    </row>
    <row r="40" spans="1:8" x14ac:dyDescent="0.35">
      <c r="A40" s="3">
        <v>1037</v>
      </c>
      <c r="B40" s="3" t="s">
        <v>81</v>
      </c>
      <c r="C40" s="3" t="s">
        <v>37</v>
      </c>
      <c r="D40" s="3" t="s">
        <v>48</v>
      </c>
      <c r="E40" s="3">
        <v>28</v>
      </c>
      <c r="F40" s="3">
        <v>5</v>
      </c>
      <c r="G40" s="11">
        <v>45344</v>
      </c>
      <c r="H40" s="5">
        <f t="shared" si="0"/>
        <v>140</v>
      </c>
    </row>
    <row r="41" spans="1:8" x14ac:dyDescent="0.35">
      <c r="A41" s="3">
        <v>1038</v>
      </c>
      <c r="B41" s="3" t="s">
        <v>82</v>
      </c>
      <c r="C41" s="3" t="s">
        <v>40</v>
      </c>
      <c r="D41" s="3" t="s">
        <v>51</v>
      </c>
      <c r="E41" s="3">
        <v>24</v>
      </c>
      <c r="F41" s="3">
        <v>8</v>
      </c>
      <c r="G41" s="11">
        <v>45345</v>
      </c>
      <c r="H41" s="5">
        <f t="shared" si="0"/>
        <v>192</v>
      </c>
    </row>
    <row r="42" spans="1:8" x14ac:dyDescent="0.35">
      <c r="A42" s="3">
        <v>1039</v>
      </c>
      <c r="B42" s="3" t="s">
        <v>83</v>
      </c>
      <c r="C42" s="3" t="s">
        <v>43</v>
      </c>
      <c r="D42" s="3" t="s">
        <v>38</v>
      </c>
      <c r="E42" s="3">
        <v>16</v>
      </c>
      <c r="F42" s="3">
        <v>50</v>
      </c>
      <c r="G42" s="11">
        <v>45347</v>
      </c>
      <c r="H42" s="5">
        <f t="shared" si="0"/>
        <v>800</v>
      </c>
    </row>
    <row r="43" spans="1:8" x14ac:dyDescent="0.35">
      <c r="A43" s="3">
        <v>1040</v>
      </c>
      <c r="B43" s="3" t="s">
        <v>84</v>
      </c>
      <c r="C43" s="3" t="s">
        <v>46</v>
      </c>
      <c r="D43" s="3" t="s">
        <v>41</v>
      </c>
      <c r="E43" s="3">
        <v>27</v>
      </c>
      <c r="F43" s="3">
        <v>10</v>
      </c>
      <c r="G43" s="11">
        <v>45348</v>
      </c>
      <c r="H43" s="5">
        <f t="shared" si="0"/>
        <v>270</v>
      </c>
    </row>
    <row r="44" spans="1:8" x14ac:dyDescent="0.35">
      <c r="A44" s="3">
        <v>1041</v>
      </c>
      <c r="B44" s="3" t="s">
        <v>85</v>
      </c>
      <c r="C44" s="3" t="s">
        <v>37</v>
      </c>
      <c r="D44" s="3" t="s">
        <v>44</v>
      </c>
      <c r="E44" s="3">
        <v>21</v>
      </c>
      <c r="F44" s="3">
        <v>25</v>
      </c>
      <c r="G44" s="11">
        <v>45349</v>
      </c>
      <c r="H44" s="5">
        <f t="shared" si="0"/>
        <v>525</v>
      </c>
    </row>
    <row r="45" spans="1:8" x14ac:dyDescent="0.35">
      <c r="A45" s="3">
        <v>1042</v>
      </c>
      <c r="B45" s="3" t="s">
        <v>86</v>
      </c>
      <c r="C45" s="3" t="s">
        <v>40</v>
      </c>
      <c r="D45" s="3" t="s">
        <v>48</v>
      </c>
      <c r="E45" s="3">
        <v>30</v>
      </c>
      <c r="F45" s="3">
        <v>5</v>
      </c>
      <c r="G45" s="11">
        <v>45350</v>
      </c>
      <c r="H45" s="5">
        <f t="shared" si="0"/>
        <v>150</v>
      </c>
    </row>
    <row r="46" spans="1:8" x14ac:dyDescent="0.35">
      <c r="A46" s="3">
        <v>1043</v>
      </c>
      <c r="B46" s="3" t="s">
        <v>87</v>
      </c>
      <c r="C46" s="3" t="s">
        <v>43</v>
      </c>
      <c r="D46" s="3" t="s">
        <v>51</v>
      </c>
      <c r="E46" s="3">
        <v>26</v>
      </c>
      <c r="F46" s="3">
        <v>8</v>
      </c>
      <c r="G46" s="11">
        <v>45352</v>
      </c>
      <c r="H46" s="5">
        <f t="shared" si="0"/>
        <v>208</v>
      </c>
    </row>
    <row r="47" spans="1:8" x14ac:dyDescent="0.35">
      <c r="A47" s="3">
        <v>1044</v>
      </c>
      <c r="B47" s="3" t="s">
        <v>88</v>
      </c>
      <c r="C47" s="3" t="s">
        <v>46</v>
      </c>
      <c r="D47" s="3" t="s">
        <v>38</v>
      </c>
      <c r="E47" s="3">
        <v>14</v>
      </c>
      <c r="F47" s="3">
        <v>50</v>
      </c>
      <c r="G47" s="11">
        <v>45353</v>
      </c>
      <c r="H47" s="5">
        <f t="shared" si="0"/>
        <v>700</v>
      </c>
    </row>
    <row r="48" spans="1:8" x14ac:dyDescent="0.35">
      <c r="A48" s="3">
        <v>1045</v>
      </c>
      <c r="B48" s="3" t="s">
        <v>89</v>
      </c>
      <c r="C48" s="3" t="s">
        <v>37</v>
      </c>
      <c r="D48" s="3" t="s">
        <v>41</v>
      </c>
      <c r="E48" s="3">
        <v>20</v>
      </c>
      <c r="F48" s="3">
        <v>10</v>
      </c>
      <c r="G48" s="11">
        <v>45354</v>
      </c>
      <c r="H48" s="5">
        <f t="shared" si="0"/>
        <v>200</v>
      </c>
    </row>
    <row r="49" spans="1:8" x14ac:dyDescent="0.35">
      <c r="A49" s="3">
        <v>1046</v>
      </c>
      <c r="B49" s="3" t="s">
        <v>90</v>
      </c>
      <c r="C49" s="3" t="s">
        <v>40</v>
      </c>
      <c r="D49" s="3" t="s">
        <v>44</v>
      </c>
      <c r="E49" s="3">
        <v>17</v>
      </c>
      <c r="F49" s="3">
        <v>25</v>
      </c>
      <c r="G49" s="11">
        <v>45355</v>
      </c>
      <c r="H49" s="5">
        <f t="shared" si="0"/>
        <v>425</v>
      </c>
    </row>
    <row r="50" spans="1:8" x14ac:dyDescent="0.35">
      <c r="A50" s="3">
        <v>1047</v>
      </c>
      <c r="B50" s="3" t="s">
        <v>91</v>
      </c>
      <c r="C50" s="3" t="s">
        <v>43</v>
      </c>
      <c r="D50" s="3" t="s">
        <v>48</v>
      </c>
      <c r="E50" s="3">
        <v>19</v>
      </c>
      <c r="F50" s="3">
        <v>5</v>
      </c>
      <c r="G50" s="11">
        <v>45356</v>
      </c>
      <c r="H50" s="5">
        <f t="shared" si="0"/>
        <v>95</v>
      </c>
    </row>
    <row r="51" spans="1:8" x14ac:dyDescent="0.35">
      <c r="A51" s="3">
        <v>1048</v>
      </c>
      <c r="B51" s="3" t="s">
        <v>92</v>
      </c>
      <c r="C51" s="3" t="s">
        <v>46</v>
      </c>
      <c r="D51" s="3" t="s">
        <v>51</v>
      </c>
      <c r="E51" s="3">
        <v>32</v>
      </c>
      <c r="F51" s="3">
        <v>8</v>
      </c>
      <c r="G51" s="11">
        <v>45357</v>
      </c>
      <c r="H51" s="5">
        <f t="shared" si="0"/>
        <v>256</v>
      </c>
    </row>
    <row r="52" spans="1:8" x14ac:dyDescent="0.35">
      <c r="A52" s="3">
        <v>1049</v>
      </c>
      <c r="B52" s="3" t="s">
        <v>93</v>
      </c>
      <c r="C52" s="3" t="s">
        <v>37</v>
      </c>
      <c r="D52" s="3" t="s">
        <v>38</v>
      </c>
      <c r="E52" s="3">
        <v>12</v>
      </c>
      <c r="F52" s="3">
        <v>50</v>
      </c>
      <c r="G52" s="11">
        <v>45358</v>
      </c>
      <c r="H52" s="5">
        <f t="shared" si="0"/>
        <v>600</v>
      </c>
    </row>
    <row r="53" spans="1:8" x14ac:dyDescent="0.35">
      <c r="A53" s="3">
        <v>1050</v>
      </c>
      <c r="B53" s="3" t="s">
        <v>94</v>
      </c>
      <c r="C53" s="3" t="s">
        <v>40</v>
      </c>
      <c r="D53" s="3" t="s">
        <v>41</v>
      </c>
      <c r="E53" s="3">
        <v>25</v>
      </c>
      <c r="F53" s="3">
        <v>10</v>
      </c>
      <c r="G53" s="11">
        <v>45359</v>
      </c>
      <c r="H53" s="5">
        <f t="shared" si="0"/>
        <v>250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3E1D-DDDA-4C23-ADDD-2D52AADA9367}">
  <dimension ref="A1:J53"/>
  <sheetViews>
    <sheetView showGridLines="0" workbookViewId="0">
      <selection activeCell="J4" sqref="J4"/>
    </sheetView>
  </sheetViews>
  <sheetFormatPr defaultRowHeight="14.5" x14ac:dyDescent="0.35"/>
  <cols>
    <col min="1" max="1" width="7.54296875" bestFit="1" customWidth="1"/>
    <col min="2" max="2" width="13.90625" bestFit="1" customWidth="1"/>
    <col min="3" max="3" width="6.453125" bestFit="1" customWidth="1"/>
    <col min="4" max="4" width="9" bestFit="1" customWidth="1"/>
    <col min="5" max="5" width="8" bestFit="1" customWidth="1"/>
    <col min="6" max="6" width="8.26953125" bestFit="1" customWidth="1"/>
    <col min="7" max="7" width="10.08984375" bestFit="1" customWidth="1"/>
    <col min="8" max="8" width="5" bestFit="1" customWidth="1"/>
  </cols>
  <sheetData>
    <row r="1" spans="1:10" x14ac:dyDescent="0.35">
      <c r="A1" t="s">
        <v>99</v>
      </c>
    </row>
    <row r="3" spans="1:10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14" t="s">
        <v>27</v>
      </c>
      <c r="J3" t="s">
        <v>1</v>
      </c>
    </row>
    <row r="4" spans="1:10" x14ac:dyDescent="0.35">
      <c r="A4" s="3">
        <v>1001</v>
      </c>
      <c r="B4" s="3" t="s">
        <v>36</v>
      </c>
      <c r="C4" s="3" t="s">
        <v>37</v>
      </c>
      <c r="D4" s="3" t="s">
        <v>38</v>
      </c>
      <c r="E4" s="3">
        <v>10</v>
      </c>
      <c r="F4" s="3">
        <v>50</v>
      </c>
      <c r="G4" s="11">
        <v>45296</v>
      </c>
      <c r="H4" s="5">
        <f>E4*F4</f>
        <v>500</v>
      </c>
    </row>
    <row r="5" spans="1:10" x14ac:dyDescent="0.35">
      <c r="A5" s="3">
        <v>1002</v>
      </c>
      <c r="B5" s="3" t="s">
        <v>39</v>
      </c>
      <c r="C5" s="3" t="s">
        <v>40</v>
      </c>
      <c r="D5" s="3" t="s">
        <v>41</v>
      </c>
      <c r="E5" s="3">
        <v>20</v>
      </c>
      <c r="F5" s="3">
        <v>10</v>
      </c>
      <c r="G5" s="11">
        <v>45297</v>
      </c>
      <c r="H5" s="5">
        <f t="shared" ref="H5:H53" si="0">E5*F5</f>
        <v>200</v>
      </c>
    </row>
    <row r="6" spans="1:10" x14ac:dyDescent="0.35">
      <c r="A6" s="3">
        <v>1003</v>
      </c>
      <c r="B6" s="3" t="s">
        <v>42</v>
      </c>
      <c r="C6" s="3" t="s">
        <v>43</v>
      </c>
      <c r="D6" s="3" t="s">
        <v>44</v>
      </c>
      <c r="E6" s="3">
        <v>15</v>
      </c>
      <c r="F6" s="3">
        <v>25</v>
      </c>
      <c r="G6" s="11">
        <v>45298</v>
      </c>
      <c r="H6" s="5">
        <f t="shared" si="0"/>
        <v>375</v>
      </c>
    </row>
    <row r="7" spans="1:10" x14ac:dyDescent="0.35">
      <c r="A7" s="3">
        <v>1004</v>
      </c>
      <c r="B7" s="3" t="s">
        <v>45</v>
      </c>
      <c r="C7" s="3" t="s">
        <v>46</v>
      </c>
      <c r="D7" s="3" t="s">
        <v>38</v>
      </c>
      <c r="E7" s="3">
        <v>5</v>
      </c>
      <c r="F7" s="3">
        <v>50</v>
      </c>
      <c r="G7" s="11">
        <v>45299</v>
      </c>
      <c r="H7" s="5">
        <f t="shared" si="0"/>
        <v>250</v>
      </c>
    </row>
    <row r="8" spans="1:10" x14ac:dyDescent="0.35">
      <c r="A8" s="3">
        <v>1005</v>
      </c>
      <c r="B8" s="3" t="s">
        <v>47</v>
      </c>
      <c r="C8" s="3" t="s">
        <v>37</v>
      </c>
      <c r="D8" s="3" t="s">
        <v>48</v>
      </c>
      <c r="E8" s="3">
        <v>30</v>
      </c>
      <c r="F8" s="3">
        <v>5</v>
      </c>
      <c r="G8" s="11">
        <v>45301</v>
      </c>
      <c r="H8" s="5">
        <f t="shared" si="0"/>
        <v>150</v>
      </c>
    </row>
    <row r="9" spans="1:10" x14ac:dyDescent="0.35">
      <c r="A9" s="3">
        <v>1006</v>
      </c>
      <c r="B9" s="3" t="s">
        <v>49</v>
      </c>
      <c r="C9" s="3" t="s">
        <v>40</v>
      </c>
      <c r="D9" s="3" t="s">
        <v>38</v>
      </c>
      <c r="E9" s="3">
        <v>12</v>
      </c>
      <c r="F9" s="3">
        <v>50</v>
      </c>
      <c r="G9" s="11">
        <v>45302</v>
      </c>
      <c r="H9" s="5">
        <f t="shared" si="0"/>
        <v>600</v>
      </c>
    </row>
    <row r="10" spans="1:10" x14ac:dyDescent="0.35">
      <c r="A10" s="3">
        <v>1007</v>
      </c>
      <c r="B10" s="3" t="s">
        <v>50</v>
      </c>
      <c r="C10" s="3" t="s">
        <v>43</v>
      </c>
      <c r="D10" s="3" t="s">
        <v>51</v>
      </c>
      <c r="E10" s="3">
        <v>25</v>
      </c>
      <c r="F10" s="3">
        <v>8</v>
      </c>
      <c r="G10" s="11">
        <v>45304</v>
      </c>
      <c r="H10" s="5">
        <f t="shared" si="0"/>
        <v>200</v>
      </c>
    </row>
    <row r="11" spans="1:10" x14ac:dyDescent="0.35">
      <c r="A11" s="3">
        <v>1008</v>
      </c>
      <c r="B11" s="3" t="s">
        <v>52</v>
      </c>
      <c r="C11" s="3" t="s">
        <v>46</v>
      </c>
      <c r="D11" s="3" t="s">
        <v>41</v>
      </c>
      <c r="E11" s="3">
        <v>18</v>
      </c>
      <c r="F11" s="3">
        <v>10</v>
      </c>
      <c r="G11" s="11">
        <v>45306</v>
      </c>
      <c r="H11" s="5">
        <f t="shared" si="0"/>
        <v>180</v>
      </c>
    </row>
    <row r="12" spans="1:10" x14ac:dyDescent="0.35">
      <c r="A12" s="3">
        <v>1009</v>
      </c>
      <c r="B12" s="3" t="s">
        <v>53</v>
      </c>
      <c r="C12" s="3" t="s">
        <v>37</v>
      </c>
      <c r="D12" s="3" t="s">
        <v>44</v>
      </c>
      <c r="E12" s="3">
        <v>22</v>
      </c>
      <c r="F12" s="3">
        <v>25</v>
      </c>
      <c r="G12" s="11">
        <v>45308</v>
      </c>
      <c r="H12" s="5">
        <f t="shared" si="0"/>
        <v>550</v>
      </c>
    </row>
    <row r="13" spans="1:10" x14ac:dyDescent="0.35">
      <c r="A13" s="3">
        <v>1010</v>
      </c>
      <c r="B13" s="3" t="s">
        <v>54</v>
      </c>
      <c r="C13" s="3" t="s">
        <v>40</v>
      </c>
      <c r="D13" s="3" t="s">
        <v>38</v>
      </c>
      <c r="E13" s="3">
        <v>8</v>
      </c>
      <c r="F13" s="3">
        <v>50</v>
      </c>
      <c r="G13" s="11">
        <v>45309</v>
      </c>
      <c r="H13" s="5">
        <f t="shared" si="0"/>
        <v>400</v>
      </c>
    </row>
    <row r="14" spans="1:10" x14ac:dyDescent="0.35">
      <c r="A14" s="3">
        <v>1011</v>
      </c>
      <c r="B14" s="3" t="s">
        <v>55</v>
      </c>
      <c r="C14" s="3" t="s">
        <v>43</v>
      </c>
      <c r="D14" s="3" t="s">
        <v>48</v>
      </c>
      <c r="E14" s="3">
        <v>40</v>
      </c>
      <c r="F14" s="3">
        <v>5</v>
      </c>
      <c r="G14" s="11">
        <v>45310</v>
      </c>
      <c r="H14" s="5">
        <f t="shared" si="0"/>
        <v>200</v>
      </c>
    </row>
    <row r="15" spans="1:10" x14ac:dyDescent="0.35">
      <c r="A15" s="3">
        <v>1012</v>
      </c>
      <c r="B15" s="3" t="s">
        <v>56</v>
      </c>
      <c r="C15" s="3" t="s">
        <v>46</v>
      </c>
      <c r="D15" s="3" t="s">
        <v>51</v>
      </c>
      <c r="E15" s="3">
        <v>35</v>
      </c>
      <c r="F15" s="3">
        <v>8</v>
      </c>
      <c r="G15" s="11">
        <v>45311</v>
      </c>
      <c r="H15" s="5">
        <f t="shared" si="0"/>
        <v>280</v>
      </c>
    </row>
    <row r="16" spans="1:10" x14ac:dyDescent="0.35">
      <c r="A16" s="3">
        <v>1013</v>
      </c>
      <c r="B16" s="3" t="s">
        <v>57</v>
      </c>
      <c r="C16" s="3" t="s">
        <v>37</v>
      </c>
      <c r="D16" s="3" t="s">
        <v>38</v>
      </c>
      <c r="E16" s="3">
        <v>14</v>
      </c>
      <c r="F16" s="3">
        <v>50</v>
      </c>
      <c r="G16" s="11">
        <v>45313</v>
      </c>
      <c r="H16" s="5">
        <f t="shared" si="0"/>
        <v>700</v>
      </c>
    </row>
    <row r="17" spans="1:8" x14ac:dyDescent="0.35">
      <c r="A17" s="3">
        <v>1014</v>
      </c>
      <c r="B17" s="3" t="s">
        <v>58</v>
      </c>
      <c r="C17" s="3" t="s">
        <v>40</v>
      </c>
      <c r="D17" s="3" t="s">
        <v>41</v>
      </c>
      <c r="E17" s="3">
        <v>28</v>
      </c>
      <c r="F17" s="3">
        <v>10</v>
      </c>
      <c r="G17" s="11">
        <v>45314</v>
      </c>
      <c r="H17" s="5">
        <f t="shared" si="0"/>
        <v>280</v>
      </c>
    </row>
    <row r="18" spans="1:8" x14ac:dyDescent="0.35">
      <c r="A18" s="3">
        <v>1015</v>
      </c>
      <c r="B18" s="3" t="s">
        <v>59</v>
      </c>
      <c r="C18" s="3" t="s">
        <v>43</v>
      </c>
      <c r="D18" s="3" t="s">
        <v>44</v>
      </c>
      <c r="E18" s="3">
        <v>12</v>
      </c>
      <c r="F18" s="3">
        <v>25</v>
      </c>
      <c r="G18" s="11">
        <v>45315</v>
      </c>
      <c r="H18" s="5">
        <f t="shared" si="0"/>
        <v>300</v>
      </c>
    </row>
    <row r="19" spans="1:8" x14ac:dyDescent="0.35">
      <c r="A19" s="3">
        <v>1016</v>
      </c>
      <c r="B19" s="3" t="s">
        <v>60</v>
      </c>
      <c r="C19" s="3" t="s">
        <v>46</v>
      </c>
      <c r="D19" s="3" t="s">
        <v>48</v>
      </c>
      <c r="E19" s="3">
        <v>25</v>
      </c>
      <c r="F19" s="3">
        <v>5</v>
      </c>
      <c r="G19" s="11">
        <v>45317</v>
      </c>
      <c r="H19" s="5">
        <f t="shared" si="0"/>
        <v>125</v>
      </c>
    </row>
    <row r="20" spans="1:8" x14ac:dyDescent="0.35">
      <c r="A20" s="3">
        <v>1017</v>
      </c>
      <c r="B20" s="3" t="s">
        <v>61</v>
      </c>
      <c r="C20" s="3" t="s">
        <v>37</v>
      </c>
      <c r="D20" s="3" t="s">
        <v>51</v>
      </c>
      <c r="E20" s="3">
        <v>20</v>
      </c>
      <c r="F20" s="3">
        <v>8</v>
      </c>
      <c r="G20" s="11">
        <v>45319</v>
      </c>
      <c r="H20" s="5">
        <f t="shared" si="0"/>
        <v>160</v>
      </c>
    </row>
    <row r="21" spans="1:8" x14ac:dyDescent="0.35">
      <c r="A21" s="3">
        <v>1018</v>
      </c>
      <c r="B21" s="3" t="s">
        <v>62</v>
      </c>
      <c r="C21" s="3" t="s">
        <v>40</v>
      </c>
      <c r="D21" s="3" t="s">
        <v>38</v>
      </c>
      <c r="E21" s="3">
        <v>10</v>
      </c>
      <c r="F21" s="3">
        <v>50</v>
      </c>
      <c r="G21" s="11">
        <v>45320</v>
      </c>
      <c r="H21" s="5">
        <f t="shared" si="0"/>
        <v>500</v>
      </c>
    </row>
    <row r="22" spans="1:8" x14ac:dyDescent="0.35">
      <c r="A22" s="3">
        <v>1019</v>
      </c>
      <c r="B22" s="3" t="s">
        <v>63</v>
      </c>
      <c r="C22" s="3" t="s">
        <v>43</v>
      </c>
      <c r="D22" s="3" t="s">
        <v>41</v>
      </c>
      <c r="E22" s="3">
        <v>15</v>
      </c>
      <c r="F22" s="3">
        <v>10</v>
      </c>
      <c r="G22" s="11">
        <v>45321</v>
      </c>
      <c r="H22" s="5">
        <f t="shared" si="0"/>
        <v>150</v>
      </c>
    </row>
    <row r="23" spans="1:8" x14ac:dyDescent="0.35">
      <c r="A23" s="3">
        <v>1020</v>
      </c>
      <c r="B23" s="3" t="s">
        <v>64</v>
      </c>
      <c r="C23" s="3" t="s">
        <v>46</v>
      </c>
      <c r="D23" s="3" t="s">
        <v>44</v>
      </c>
      <c r="E23" s="3">
        <v>18</v>
      </c>
      <c r="F23" s="3">
        <v>25</v>
      </c>
      <c r="G23" s="11">
        <v>45323</v>
      </c>
      <c r="H23" s="5">
        <f t="shared" si="0"/>
        <v>450</v>
      </c>
    </row>
    <row r="24" spans="1:8" x14ac:dyDescent="0.35">
      <c r="A24" s="3">
        <v>1021</v>
      </c>
      <c r="B24" s="3" t="s">
        <v>65</v>
      </c>
      <c r="C24" s="3" t="s">
        <v>37</v>
      </c>
      <c r="D24" s="3" t="s">
        <v>38</v>
      </c>
      <c r="E24" s="3">
        <v>9</v>
      </c>
      <c r="F24" s="3">
        <v>50</v>
      </c>
      <c r="G24" s="11">
        <v>45324</v>
      </c>
      <c r="H24" s="5">
        <f t="shared" si="0"/>
        <v>450</v>
      </c>
    </row>
    <row r="25" spans="1:8" x14ac:dyDescent="0.35">
      <c r="A25" s="3">
        <v>1022</v>
      </c>
      <c r="B25" s="3" t="s">
        <v>66</v>
      </c>
      <c r="C25" s="3" t="s">
        <v>40</v>
      </c>
      <c r="D25" s="3" t="s">
        <v>48</v>
      </c>
      <c r="E25" s="3">
        <v>35</v>
      </c>
      <c r="F25" s="3">
        <v>5</v>
      </c>
      <c r="G25" s="11">
        <v>45325</v>
      </c>
      <c r="H25" s="5">
        <f t="shared" si="0"/>
        <v>175</v>
      </c>
    </row>
    <row r="26" spans="1:8" x14ac:dyDescent="0.35">
      <c r="A26" s="3">
        <v>1023</v>
      </c>
      <c r="B26" s="3" t="s">
        <v>67</v>
      </c>
      <c r="C26" s="3" t="s">
        <v>43</v>
      </c>
      <c r="D26" s="3" t="s">
        <v>51</v>
      </c>
      <c r="E26" s="3">
        <v>30</v>
      </c>
      <c r="F26" s="3">
        <v>8</v>
      </c>
      <c r="G26" s="11">
        <v>45326</v>
      </c>
      <c r="H26" s="5">
        <f t="shared" si="0"/>
        <v>240</v>
      </c>
    </row>
    <row r="27" spans="1:8" x14ac:dyDescent="0.35">
      <c r="A27" s="3">
        <v>1024</v>
      </c>
      <c r="B27" s="3" t="s">
        <v>68</v>
      </c>
      <c r="C27" s="3" t="s">
        <v>46</v>
      </c>
      <c r="D27" s="3" t="s">
        <v>38</v>
      </c>
      <c r="E27" s="3">
        <v>11</v>
      </c>
      <c r="F27" s="3">
        <v>50</v>
      </c>
      <c r="G27" s="11">
        <v>45328</v>
      </c>
      <c r="H27" s="5">
        <f t="shared" si="0"/>
        <v>550</v>
      </c>
    </row>
    <row r="28" spans="1:8" x14ac:dyDescent="0.35">
      <c r="A28" s="3">
        <v>1025</v>
      </c>
      <c r="B28" s="3" t="s">
        <v>69</v>
      </c>
      <c r="C28" s="3" t="s">
        <v>37</v>
      </c>
      <c r="D28" s="3" t="s">
        <v>41</v>
      </c>
      <c r="E28" s="3">
        <v>14</v>
      </c>
      <c r="F28" s="3">
        <v>10</v>
      </c>
      <c r="G28" s="11">
        <v>45329</v>
      </c>
      <c r="H28" s="5">
        <f t="shared" si="0"/>
        <v>140</v>
      </c>
    </row>
    <row r="29" spans="1:8" x14ac:dyDescent="0.35">
      <c r="A29" s="3">
        <v>1026</v>
      </c>
      <c r="B29" s="3" t="s">
        <v>70</v>
      </c>
      <c r="C29" s="3" t="s">
        <v>40</v>
      </c>
      <c r="D29" s="3" t="s">
        <v>44</v>
      </c>
      <c r="E29" s="3">
        <v>16</v>
      </c>
      <c r="F29" s="3">
        <v>25</v>
      </c>
      <c r="G29" s="11">
        <v>45330</v>
      </c>
      <c r="H29" s="5">
        <f t="shared" si="0"/>
        <v>400</v>
      </c>
    </row>
    <row r="30" spans="1:8" x14ac:dyDescent="0.35">
      <c r="A30" s="3">
        <v>1027</v>
      </c>
      <c r="B30" s="3" t="s">
        <v>71</v>
      </c>
      <c r="C30" s="3" t="s">
        <v>43</v>
      </c>
      <c r="D30" s="3" t="s">
        <v>48</v>
      </c>
      <c r="E30" s="3">
        <v>22</v>
      </c>
      <c r="F30" s="3">
        <v>5</v>
      </c>
      <c r="G30" s="11">
        <v>45331</v>
      </c>
      <c r="H30" s="5">
        <f t="shared" si="0"/>
        <v>110</v>
      </c>
    </row>
    <row r="31" spans="1:8" x14ac:dyDescent="0.35">
      <c r="A31" s="3">
        <v>1028</v>
      </c>
      <c r="B31" s="3" t="s">
        <v>72</v>
      </c>
      <c r="C31" s="3" t="s">
        <v>46</v>
      </c>
      <c r="D31" s="3" t="s">
        <v>51</v>
      </c>
      <c r="E31" s="3">
        <v>27</v>
      </c>
      <c r="F31" s="3">
        <v>8</v>
      </c>
      <c r="G31" s="11">
        <v>45332</v>
      </c>
      <c r="H31" s="5">
        <f t="shared" si="0"/>
        <v>216</v>
      </c>
    </row>
    <row r="32" spans="1:8" x14ac:dyDescent="0.35">
      <c r="A32" s="3">
        <v>1029</v>
      </c>
      <c r="B32" s="3" t="s">
        <v>73</v>
      </c>
      <c r="C32" s="3" t="s">
        <v>37</v>
      </c>
      <c r="D32" s="3" t="s">
        <v>38</v>
      </c>
      <c r="E32" s="3">
        <v>13</v>
      </c>
      <c r="F32" s="3">
        <v>50</v>
      </c>
      <c r="G32" s="11">
        <v>45334</v>
      </c>
      <c r="H32" s="5">
        <f t="shared" si="0"/>
        <v>650</v>
      </c>
    </row>
    <row r="33" spans="1:8" x14ac:dyDescent="0.35">
      <c r="A33" s="3">
        <v>1030</v>
      </c>
      <c r="B33" s="3" t="s">
        <v>74</v>
      </c>
      <c r="C33" s="3" t="s">
        <v>40</v>
      </c>
      <c r="D33" s="3" t="s">
        <v>41</v>
      </c>
      <c r="E33" s="3">
        <v>32</v>
      </c>
      <c r="F33" s="3">
        <v>10</v>
      </c>
      <c r="G33" s="11">
        <v>45335</v>
      </c>
      <c r="H33" s="5">
        <f t="shared" si="0"/>
        <v>320</v>
      </c>
    </row>
    <row r="34" spans="1:8" x14ac:dyDescent="0.35">
      <c r="A34" s="3">
        <v>1031</v>
      </c>
      <c r="B34" s="3" t="s">
        <v>75</v>
      </c>
      <c r="C34" s="3" t="s">
        <v>43</v>
      </c>
      <c r="D34" s="3" t="s">
        <v>44</v>
      </c>
      <c r="E34" s="3">
        <v>10</v>
      </c>
      <c r="F34" s="3">
        <v>25</v>
      </c>
      <c r="G34" s="11">
        <v>45336</v>
      </c>
      <c r="H34" s="5">
        <f t="shared" si="0"/>
        <v>250</v>
      </c>
    </row>
    <row r="35" spans="1:8" x14ac:dyDescent="0.35">
      <c r="A35" s="3">
        <v>1032</v>
      </c>
      <c r="B35" s="3" t="s">
        <v>76</v>
      </c>
      <c r="C35" s="3" t="s">
        <v>46</v>
      </c>
      <c r="D35" s="3" t="s">
        <v>48</v>
      </c>
      <c r="E35" s="3">
        <v>18</v>
      </c>
      <c r="F35" s="3">
        <v>5</v>
      </c>
      <c r="G35" s="11">
        <v>45338</v>
      </c>
      <c r="H35" s="5">
        <f t="shared" si="0"/>
        <v>90</v>
      </c>
    </row>
    <row r="36" spans="1:8" x14ac:dyDescent="0.35">
      <c r="A36" s="3">
        <v>1033</v>
      </c>
      <c r="B36" s="3" t="s">
        <v>77</v>
      </c>
      <c r="C36" s="3" t="s">
        <v>37</v>
      </c>
      <c r="D36" s="3" t="s">
        <v>51</v>
      </c>
      <c r="E36" s="3">
        <v>22</v>
      </c>
      <c r="F36" s="3">
        <v>8</v>
      </c>
      <c r="G36" s="11">
        <v>45339</v>
      </c>
      <c r="H36" s="5">
        <f t="shared" si="0"/>
        <v>176</v>
      </c>
    </row>
    <row r="37" spans="1:8" x14ac:dyDescent="0.35">
      <c r="A37" s="3">
        <v>1034</v>
      </c>
      <c r="B37" s="3" t="s">
        <v>78</v>
      </c>
      <c r="C37" s="3" t="s">
        <v>40</v>
      </c>
      <c r="D37" s="3" t="s">
        <v>38</v>
      </c>
      <c r="E37" s="3">
        <v>17</v>
      </c>
      <c r="F37" s="3">
        <v>50</v>
      </c>
      <c r="G37" s="11">
        <v>45340</v>
      </c>
      <c r="H37" s="5">
        <f t="shared" si="0"/>
        <v>850</v>
      </c>
    </row>
    <row r="38" spans="1:8" x14ac:dyDescent="0.35">
      <c r="A38" s="3">
        <v>1035</v>
      </c>
      <c r="B38" s="3" t="s">
        <v>79</v>
      </c>
      <c r="C38" s="3" t="s">
        <v>43</v>
      </c>
      <c r="D38" s="3" t="s">
        <v>41</v>
      </c>
      <c r="E38" s="3">
        <v>19</v>
      </c>
      <c r="F38" s="3">
        <v>10</v>
      </c>
      <c r="G38" s="11">
        <v>45341</v>
      </c>
      <c r="H38" s="5">
        <f t="shared" si="0"/>
        <v>190</v>
      </c>
    </row>
    <row r="39" spans="1:8" x14ac:dyDescent="0.35">
      <c r="A39" s="3">
        <v>1036</v>
      </c>
      <c r="B39" s="3" t="s">
        <v>80</v>
      </c>
      <c r="C39" s="3" t="s">
        <v>46</v>
      </c>
      <c r="D39" s="3" t="s">
        <v>44</v>
      </c>
      <c r="E39" s="3">
        <v>15</v>
      </c>
      <c r="F39" s="3">
        <v>25</v>
      </c>
      <c r="G39" s="11">
        <v>45343</v>
      </c>
      <c r="H39" s="5">
        <f t="shared" si="0"/>
        <v>375</v>
      </c>
    </row>
    <row r="40" spans="1:8" x14ac:dyDescent="0.35">
      <c r="A40" s="3">
        <v>1037</v>
      </c>
      <c r="B40" s="3" t="s">
        <v>81</v>
      </c>
      <c r="C40" s="3" t="s">
        <v>37</v>
      </c>
      <c r="D40" s="3" t="s">
        <v>48</v>
      </c>
      <c r="E40" s="3">
        <v>28</v>
      </c>
      <c r="F40" s="3">
        <v>5</v>
      </c>
      <c r="G40" s="11">
        <v>45344</v>
      </c>
      <c r="H40" s="5">
        <f t="shared" si="0"/>
        <v>140</v>
      </c>
    </row>
    <row r="41" spans="1:8" x14ac:dyDescent="0.35">
      <c r="A41" s="3">
        <v>1038</v>
      </c>
      <c r="B41" s="3" t="s">
        <v>82</v>
      </c>
      <c r="C41" s="3" t="s">
        <v>40</v>
      </c>
      <c r="D41" s="3" t="s">
        <v>51</v>
      </c>
      <c r="E41" s="3">
        <v>24</v>
      </c>
      <c r="F41" s="3">
        <v>8</v>
      </c>
      <c r="G41" s="11">
        <v>45345</v>
      </c>
      <c r="H41" s="5">
        <f t="shared" si="0"/>
        <v>192</v>
      </c>
    </row>
    <row r="42" spans="1:8" x14ac:dyDescent="0.35">
      <c r="A42" s="3">
        <v>1039</v>
      </c>
      <c r="B42" s="3" t="s">
        <v>83</v>
      </c>
      <c r="C42" s="3" t="s">
        <v>43</v>
      </c>
      <c r="D42" s="3" t="s">
        <v>38</v>
      </c>
      <c r="E42" s="3">
        <v>16</v>
      </c>
      <c r="F42" s="3">
        <v>50</v>
      </c>
      <c r="G42" s="11">
        <v>45347</v>
      </c>
      <c r="H42" s="5">
        <f t="shared" si="0"/>
        <v>800</v>
      </c>
    </row>
    <row r="43" spans="1:8" x14ac:dyDescent="0.35">
      <c r="A43" s="3">
        <v>1040</v>
      </c>
      <c r="B43" s="3" t="s">
        <v>84</v>
      </c>
      <c r="C43" s="3" t="s">
        <v>46</v>
      </c>
      <c r="D43" s="3" t="s">
        <v>41</v>
      </c>
      <c r="E43" s="3">
        <v>27</v>
      </c>
      <c r="F43" s="3">
        <v>10</v>
      </c>
      <c r="G43" s="11">
        <v>45348</v>
      </c>
      <c r="H43" s="5">
        <f t="shared" si="0"/>
        <v>270</v>
      </c>
    </row>
    <row r="44" spans="1:8" x14ac:dyDescent="0.35">
      <c r="A44" s="3">
        <v>1041</v>
      </c>
      <c r="B44" s="3" t="s">
        <v>85</v>
      </c>
      <c r="C44" s="3" t="s">
        <v>37</v>
      </c>
      <c r="D44" s="3" t="s">
        <v>44</v>
      </c>
      <c r="E44" s="3">
        <v>21</v>
      </c>
      <c r="F44" s="3">
        <v>25</v>
      </c>
      <c r="G44" s="11">
        <v>45349</v>
      </c>
      <c r="H44" s="5">
        <f t="shared" si="0"/>
        <v>525</v>
      </c>
    </row>
    <row r="45" spans="1:8" x14ac:dyDescent="0.35">
      <c r="A45" s="3">
        <v>1042</v>
      </c>
      <c r="B45" s="3" t="s">
        <v>86</v>
      </c>
      <c r="C45" s="3" t="s">
        <v>40</v>
      </c>
      <c r="D45" s="3" t="s">
        <v>48</v>
      </c>
      <c r="E45" s="3">
        <v>30</v>
      </c>
      <c r="F45" s="3">
        <v>5</v>
      </c>
      <c r="G45" s="11">
        <v>45350</v>
      </c>
      <c r="H45" s="5">
        <f t="shared" si="0"/>
        <v>150</v>
      </c>
    </row>
    <row r="46" spans="1:8" x14ac:dyDescent="0.35">
      <c r="A46" s="3">
        <v>1043</v>
      </c>
      <c r="B46" s="3" t="s">
        <v>87</v>
      </c>
      <c r="C46" s="3" t="s">
        <v>43</v>
      </c>
      <c r="D46" s="3" t="s">
        <v>51</v>
      </c>
      <c r="E46" s="3">
        <v>26</v>
      </c>
      <c r="F46" s="3">
        <v>8</v>
      </c>
      <c r="G46" s="11">
        <v>45352</v>
      </c>
      <c r="H46" s="5">
        <f t="shared" si="0"/>
        <v>208</v>
      </c>
    </row>
    <row r="47" spans="1:8" x14ac:dyDescent="0.35">
      <c r="A47" s="3">
        <v>1044</v>
      </c>
      <c r="B47" s="3" t="s">
        <v>88</v>
      </c>
      <c r="C47" s="3" t="s">
        <v>46</v>
      </c>
      <c r="D47" s="3" t="s">
        <v>38</v>
      </c>
      <c r="E47" s="3">
        <v>14</v>
      </c>
      <c r="F47" s="3">
        <v>50</v>
      </c>
      <c r="G47" s="11">
        <v>45353</v>
      </c>
      <c r="H47" s="5">
        <f t="shared" si="0"/>
        <v>700</v>
      </c>
    </row>
    <row r="48" spans="1:8" x14ac:dyDescent="0.35">
      <c r="A48" s="3">
        <v>1045</v>
      </c>
      <c r="B48" s="3" t="s">
        <v>89</v>
      </c>
      <c r="C48" s="3" t="s">
        <v>37</v>
      </c>
      <c r="D48" s="3" t="s">
        <v>41</v>
      </c>
      <c r="E48" s="3">
        <v>20</v>
      </c>
      <c r="F48" s="3">
        <v>10</v>
      </c>
      <c r="G48" s="11">
        <v>45354</v>
      </c>
      <c r="H48" s="5">
        <f t="shared" si="0"/>
        <v>200</v>
      </c>
    </row>
    <row r="49" spans="1:8" x14ac:dyDescent="0.35">
      <c r="A49" s="3">
        <v>1046</v>
      </c>
      <c r="B49" s="3" t="s">
        <v>90</v>
      </c>
      <c r="C49" s="3" t="s">
        <v>40</v>
      </c>
      <c r="D49" s="3" t="s">
        <v>44</v>
      </c>
      <c r="E49" s="3">
        <v>17</v>
      </c>
      <c r="F49" s="3">
        <v>25</v>
      </c>
      <c r="G49" s="11">
        <v>45355</v>
      </c>
      <c r="H49" s="5">
        <f t="shared" si="0"/>
        <v>425</v>
      </c>
    </row>
    <row r="50" spans="1:8" x14ac:dyDescent="0.35">
      <c r="A50" s="3">
        <v>1047</v>
      </c>
      <c r="B50" s="3" t="s">
        <v>91</v>
      </c>
      <c r="C50" s="3" t="s">
        <v>43</v>
      </c>
      <c r="D50" s="3" t="s">
        <v>48</v>
      </c>
      <c r="E50" s="3">
        <v>19</v>
      </c>
      <c r="F50" s="3">
        <v>5</v>
      </c>
      <c r="G50" s="11">
        <v>45356</v>
      </c>
      <c r="H50" s="5">
        <f t="shared" si="0"/>
        <v>95</v>
      </c>
    </row>
    <row r="51" spans="1:8" x14ac:dyDescent="0.35">
      <c r="A51" s="3">
        <v>1048</v>
      </c>
      <c r="B51" s="3" t="s">
        <v>92</v>
      </c>
      <c r="C51" s="3" t="s">
        <v>46</v>
      </c>
      <c r="D51" s="3" t="s">
        <v>51</v>
      </c>
      <c r="E51" s="3">
        <v>32</v>
      </c>
      <c r="F51" s="3">
        <v>8</v>
      </c>
      <c r="G51" s="11">
        <v>45357</v>
      </c>
      <c r="H51" s="5">
        <f t="shared" si="0"/>
        <v>256</v>
      </c>
    </row>
    <row r="52" spans="1:8" x14ac:dyDescent="0.35">
      <c r="A52" s="3">
        <v>1049</v>
      </c>
      <c r="B52" s="3" t="s">
        <v>93</v>
      </c>
      <c r="C52" s="3" t="s">
        <v>37</v>
      </c>
      <c r="D52" s="3" t="s">
        <v>38</v>
      </c>
      <c r="E52" s="3">
        <v>12</v>
      </c>
      <c r="F52" s="3">
        <v>50</v>
      </c>
      <c r="G52" s="11">
        <v>45358</v>
      </c>
      <c r="H52" s="5">
        <f t="shared" si="0"/>
        <v>600</v>
      </c>
    </row>
    <row r="53" spans="1:8" x14ac:dyDescent="0.35">
      <c r="A53" s="3">
        <v>1050</v>
      </c>
      <c r="B53" s="3" t="s">
        <v>94</v>
      </c>
      <c r="C53" s="3" t="s">
        <v>40</v>
      </c>
      <c r="D53" s="3" t="s">
        <v>41</v>
      </c>
      <c r="E53" s="3">
        <v>25</v>
      </c>
      <c r="F53" s="3">
        <v>10</v>
      </c>
      <c r="G53" s="11">
        <v>45359</v>
      </c>
      <c r="H53" s="5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Q-1</vt:lpstr>
      <vt:lpstr>Q-2</vt:lpstr>
      <vt:lpstr>Q-3</vt:lpstr>
      <vt:lpstr>Q-4</vt:lpstr>
      <vt:lpstr>Q-5</vt:lpstr>
      <vt:lpstr>Q-6</vt:lpstr>
      <vt:lpstr>Q-7</vt:lpstr>
      <vt:lpstr>Q-8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2025-12-03T17:00:44Z</dcterms:created>
  <dcterms:modified xsi:type="dcterms:W3CDTF">2025-12-03T17:45:25Z</dcterms:modified>
</cp:coreProperties>
</file>