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W Skills\Excel\Assignment 2\"/>
    </mc:Choice>
  </mc:AlternateContent>
  <xr:revisionPtr revIDLastSave="0" documentId="13_ncr:1_{DEA1409D-4BEA-492C-A40D-AF3176C99B6C}" xr6:coauthVersionLast="47" xr6:coauthVersionMax="47" xr10:uidLastSave="{00000000-0000-0000-0000-000000000000}"/>
  <bookViews>
    <workbookView xWindow="-110" yWindow="-110" windowWidth="19420" windowHeight="10300" xr2:uid="{A58DA5D1-CC93-4581-8A5B-171C8E272D87}"/>
  </bookViews>
  <sheets>
    <sheet name="Q-1" sheetId="1" r:id="rId1"/>
    <sheet name="Q-2" sheetId="2" r:id="rId2"/>
    <sheet name="Q-3" sheetId="3" r:id="rId3"/>
    <sheet name="Q-4" sheetId="4" r:id="rId4"/>
    <sheet name="Q-5" sheetId="5" r:id="rId5"/>
    <sheet name="Q-6" sheetId="6" r:id="rId6"/>
    <sheet name="Q-7" sheetId="7" r:id="rId7"/>
    <sheet name="Q-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6" i="8" l="1"/>
  <c r="B36" i="8" s="1"/>
  <c r="B32" i="8"/>
  <c r="A20" i="8"/>
  <c r="A28" i="8"/>
  <c r="C27" i="7"/>
  <c r="C26" i="7"/>
  <c r="E14" i="7"/>
  <c r="D5" i="7"/>
  <c r="D21" i="6"/>
  <c r="D17" i="6"/>
  <c r="D13" i="6"/>
  <c r="D9" i="6"/>
  <c r="D5" i="6"/>
  <c r="A18" i="4"/>
</calcChain>
</file>

<file path=xl/sharedStrings.xml><?xml version="1.0" encoding="utf-8"?>
<sst xmlns="http://schemas.openxmlformats.org/spreadsheetml/2006/main" count="301" uniqueCount="253">
  <si>
    <t>1. What is data cleaning, and why is it important in data analysis?</t>
  </si>
  <si>
    <t>Ans.</t>
  </si>
  <si>
    <t xml:space="preserve"> It involves tasks like removing duplicates, fixing missing or incorrect values, standardizing formats, and ensuring the data is accurate and consistent.</t>
  </si>
  <si>
    <t>Importance of data analysis.</t>
  </si>
  <si>
    <t>1. Ensures Accuracy</t>
  </si>
  <si>
    <t>Clean data reduces errors in analysis, leading to more accurate insights and conclusions.</t>
  </si>
  <si>
    <t>2. Improves Reliability</t>
  </si>
  <si>
    <t>Well-prepared data makes the results trustworthy and repeatable.</t>
  </si>
  <si>
    <t>3. Enhances Efficiency</t>
  </si>
  <si>
    <t>Analysts spend less time debugging issues and more time generating meaningful insights.</t>
  </si>
  <si>
    <t>4. Supports Better Decision-Making</t>
  </si>
  <si>
    <t>High-quality data helps businesses and researchers make informed, data-driven decisions.</t>
  </si>
  <si>
    <t>5. Prevents Misinterpretation</t>
  </si>
  <si>
    <t>Dirty data can lead to false patterns, misleading results, or incorrect predictions.</t>
  </si>
  <si>
    <t>What are the potential consequences of analyzing unclean or messy data?</t>
  </si>
  <si>
    <t>a. Incorrect Results and Conclusions</t>
  </si>
  <si>
    <t>Dirty data can lead to wrong insights, causing misinterpretation of trends or patterns.</t>
  </si>
  <si>
    <t>b. Poor Decision-Making</t>
  </si>
  <si>
    <t>Decisions based on inaccurate information may lead to financial loss, operational issues, or strategic errors.</t>
  </si>
  <si>
    <t>c. Inefficient Analysis</t>
  </si>
  <si>
    <t>Analysts spend more time fixing issues instead of analyzing, slowing down projects.</t>
  </si>
  <si>
    <t>Explain the common steps involved in cleaning and organizing data.</t>
  </si>
  <si>
    <r>
      <t>Data cleaning</t>
    </r>
    <r>
      <rPr>
        <sz val="11"/>
        <color theme="1"/>
        <rFont val="Calibri"/>
        <family val="2"/>
        <scheme val="minor"/>
      </rPr>
      <t xml:space="preserve"> is the process of identifying and correcting errors, inconsistencies, and inaccuracies in a dataset to improve its quality and reliability.</t>
    </r>
  </si>
  <si>
    <t>Step 1: Remove or Handle Missing Data</t>
  </si>
  <si>
    <t>Remove rows/columns with too many missing values</t>
  </si>
  <si>
    <t>Fill missing values using averages, medians, or other methods</t>
  </si>
  <si>
    <t>Flag missing data if necessary</t>
  </si>
  <si>
    <t>Step 2: Remove Duplicates</t>
  </si>
  <si>
    <t>Identify repeated rows or entries</t>
  </si>
  <si>
    <t>Keep only unique records</t>
  </si>
  <si>
    <t>Step 3: Correct Errors and Inconsistencies</t>
  </si>
  <si>
    <t>Fix typos, incorrect entries, or inconsistent formatting (e.g., “NY”, “New York”)</t>
  </si>
  <si>
    <t>Standardize date formats, names, units, etc.</t>
  </si>
  <si>
    <t>Step 4: Validate Data Types</t>
  </si>
  <si>
    <t>Ensure each column has the correct data type (e.g., numbers, dates, text)</t>
  </si>
  <si>
    <t>Step 5: Deal with Outliers</t>
  </si>
  <si>
    <t>Identify unusual values</t>
  </si>
  <si>
    <t>Decide whether to remove, correct, or keep them based on context</t>
  </si>
  <si>
    <t>Step 6: Standardize and Normalize Data (if needed)</t>
  </si>
  <si>
    <t>Bring values to a similar scale for analysis or modeling</t>
  </si>
  <si>
    <t>Useful in machine learning or statistical comparisons</t>
  </si>
  <si>
    <t>Step 1: Select the Entire Dataset</t>
  </si>
  <si>
    <t>Step 2: Open the Sort Tool</t>
  </si>
  <si>
    <t>Step 3: Add the First Sorting Level</t>
  </si>
  <si>
    <t>In the Sort dialog, choose:</t>
  </si>
  <si>
    <t>Step 4: Add the Second Sorting Level</t>
  </si>
  <si>
    <t>Enter:</t>
  </si>
  <si>
    <t>Step 5: Apply the Sort</t>
  </si>
  <si>
    <r>
      <t xml:space="preserve">Highlight all columns: </t>
    </r>
    <r>
      <rPr>
        <b/>
        <sz val="12"/>
        <color theme="1"/>
        <rFont val="Calibri"/>
        <family val="2"/>
        <scheme val="minor"/>
      </rPr>
      <t>Employee, Department, Salary</t>
    </r>
    <r>
      <rPr>
        <sz val="12"/>
        <color theme="1"/>
        <rFont val="Calibri"/>
        <family val="2"/>
        <scheme val="minor"/>
      </rPr>
      <t>.</t>
    </r>
  </si>
  <si>
    <r>
      <t xml:space="preserve">Go to the </t>
    </r>
    <r>
      <rPr>
        <b/>
        <sz val="12"/>
        <color theme="1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 xml:space="preserve"> tab on the Excel ribbon.</t>
    </r>
  </si>
  <si>
    <r>
      <t xml:space="preserve">Click </t>
    </r>
    <r>
      <rPr>
        <b/>
        <sz val="12"/>
        <color theme="1"/>
        <rFont val="Calibri"/>
        <family val="2"/>
        <scheme val="minor"/>
      </rPr>
      <t>Sort</t>
    </r>
    <r>
      <rPr>
        <sz val="12"/>
        <color theme="1"/>
        <rFont val="Calibri"/>
        <family val="2"/>
        <scheme val="minor"/>
      </rPr>
      <t xml:space="preserve"> (not Filter → Sort A–Z, but the full Sort dialog).</t>
    </r>
  </si>
  <si>
    <r>
      <t>Sort by: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Department</t>
    </r>
  </si>
  <si>
    <r>
      <t>Sort On: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Values</t>
    </r>
  </si>
  <si>
    <r>
      <t>Order: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A to Z</t>
    </r>
  </si>
  <si>
    <r>
      <t xml:space="preserve">Click </t>
    </r>
    <r>
      <rPr>
        <b/>
        <sz val="12"/>
        <color theme="1"/>
        <rFont val="Calibri"/>
        <family val="2"/>
        <scheme val="minor"/>
      </rPr>
      <t>Add Level</t>
    </r>
    <r>
      <rPr>
        <sz val="12"/>
        <color theme="1"/>
        <rFont val="Calibri"/>
        <family val="2"/>
        <scheme val="minor"/>
      </rPr>
      <t>.</t>
    </r>
  </si>
  <si>
    <r>
      <t>Then by: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Salary</t>
    </r>
  </si>
  <si>
    <r>
      <t>Order: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Largest to Smallest</t>
    </r>
  </si>
  <si>
    <r>
      <t xml:space="preserve">Click </t>
    </r>
    <r>
      <rPr>
        <b/>
        <sz val="12"/>
        <color theme="1"/>
        <rFont val="Calibri"/>
        <family val="2"/>
        <scheme val="minor"/>
      </rPr>
      <t>OK</t>
    </r>
    <r>
      <rPr>
        <sz val="12"/>
        <color theme="1"/>
        <rFont val="Calibri"/>
        <family val="2"/>
        <scheme val="minor"/>
      </rPr>
      <t>.</t>
    </r>
  </si>
  <si>
    <t>2.How would you sort the following dataset first by "Department" (A-Z) and then by "Salary" (Largest to Smallest)? Write a step-by-step approach.</t>
  </si>
  <si>
    <t>Employee</t>
  </si>
  <si>
    <t>Department</t>
  </si>
  <si>
    <t>Salary</t>
  </si>
  <si>
    <t>Sonu</t>
  </si>
  <si>
    <t>Pranav</t>
  </si>
  <si>
    <t>Rahu</t>
  </si>
  <si>
    <t>IT</t>
  </si>
  <si>
    <t>HR</t>
  </si>
  <si>
    <t>3. Explain the use of text functions such as TRIM , LEFT, RIGHT, MID, and CONCAT in data cleaning.</t>
  </si>
  <si>
    <t>Purpose:</t>
  </si>
  <si>
    <t>Removes extra spaces from text.</t>
  </si>
  <si>
    <t>What it cleans:</t>
  </si>
  <si>
    <t>Removes leading spaces (before text)</t>
  </si>
  <si>
    <t>Removes trailing spaces (after text)</t>
  </si>
  <si>
    <t>Removes extra spaces between words (keeps only one)</t>
  </si>
  <si>
    <t>Example:</t>
  </si>
  <si>
    <t>Why it’s useful:</t>
  </si>
  <si>
    <t>Dirty data often has unwanted spacing, which causes errors in sorting, matching, or filtering.</t>
  </si>
  <si>
    <t>Extract codes, initials, or prefixes</t>
  </si>
  <si>
    <t>Clean up data by separating mixed text (e.g., product codes)</t>
  </si>
  <si>
    <t>Helps break complex data into usable parts.</t>
  </si>
  <si>
    <t>Get last digits of IDs</t>
  </si>
  <si>
    <t>Extract endings of codes</t>
  </si>
  <si>
    <t>Separate text ending values (e.g., year from "2023A")</t>
  </si>
  <si>
    <t>Good for cleaning data containing fixed-length endings.</t>
  </si>
  <si>
    <t>Pull out specific parts of longer text</t>
  </si>
  <si>
    <t>Extract middle components from codes or combined data</t>
  </si>
  <si>
    <t>Split full text into meaningful pieces</t>
  </si>
  <si>
    <t>Handles complex data where important information is embedded in the center.</t>
  </si>
  <si>
    <t>Combines multiple text values into one.</t>
  </si>
  <si>
    <t>Merges columns such as First Name + Last Name</t>
  </si>
  <si>
    <t>Rebuilds text after cleaning or rearranging</t>
  </si>
  <si>
    <t>Create standardized formats (IDs, addresses, labels)</t>
  </si>
  <si>
    <t>Helps organize cleaned data into a consistent format.</t>
  </si>
  <si>
    <t>1. TRIM Function</t>
  </si>
  <si>
    <t>2. LEFT Function</t>
  </si>
  <si>
    <t>3. RIGHT Function</t>
  </si>
  <si>
    <t>4. MID Function</t>
  </si>
  <si>
    <t>5. CONCAT (or CONCATENATE) Function</t>
  </si>
  <si>
    <r>
      <t>=TRIM(" John Doe ")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"John Doe"</t>
    </r>
  </si>
  <si>
    <r>
      <t xml:space="preserve">Extracts a specific number of characters from the </t>
    </r>
    <r>
      <rPr>
        <b/>
        <sz val="12"/>
        <color theme="1"/>
        <rFont val="Calibri"/>
        <family val="2"/>
        <scheme val="minor"/>
      </rPr>
      <t>left</t>
    </r>
    <r>
      <rPr>
        <sz val="12"/>
        <color theme="1"/>
        <rFont val="Calibri"/>
        <family val="2"/>
        <scheme val="minor"/>
      </rPr>
      <t xml:space="preserve"> side of a string.</t>
    </r>
  </si>
  <si>
    <r>
      <t>=LEFT("EMP1234", 3)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"EMP"</t>
    </r>
  </si>
  <si>
    <r>
      <t xml:space="preserve">Extracts a specific number of characters from the </t>
    </r>
    <r>
      <rPr>
        <b/>
        <sz val="12"/>
        <color theme="1"/>
        <rFont val="Calibri"/>
        <family val="2"/>
        <scheme val="minor"/>
      </rPr>
      <t>right</t>
    </r>
    <r>
      <rPr>
        <sz val="12"/>
        <color theme="1"/>
        <rFont val="Calibri"/>
        <family val="2"/>
        <scheme val="minor"/>
      </rPr>
      <t xml:space="preserve"> side of a string.</t>
    </r>
  </si>
  <si>
    <r>
      <t>=RIGHT("EMP1234", 4)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"1234"</t>
    </r>
  </si>
  <si>
    <r>
      <t xml:space="preserve">Extracts characters from the </t>
    </r>
    <r>
      <rPr>
        <b/>
        <sz val="12"/>
        <color theme="1"/>
        <rFont val="Calibri"/>
        <family val="2"/>
        <scheme val="minor"/>
      </rPr>
      <t>middle</t>
    </r>
    <r>
      <rPr>
        <sz val="12"/>
        <color theme="1"/>
        <rFont val="Calibri"/>
        <family val="2"/>
        <scheme val="minor"/>
      </rPr>
      <t xml:space="preserve"> of a string based on starting position and length.</t>
    </r>
  </si>
  <si>
    <r>
      <t>=MID("ABC123XYZ", 4, 3)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"123"</t>
    </r>
  </si>
  <si>
    <r>
      <t>=CONCAT("John", " ", "Doe")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"John Doe"</t>
    </r>
  </si>
  <si>
    <t>4. What is the role of date functions like TODAY in managing datasets?</t>
  </si>
  <si>
    <t>1. Automatically Updating Dates</t>
  </si>
  <si>
    <t>2. Calculating Age, Duration, or Time Differences</t>
  </si>
  <si>
    <t>Date functions help calculate:</t>
  </si>
  <si>
    <t>Age of a person</t>
  </si>
  <si>
    <t>Number of days/months/years between events</t>
  </si>
  <si>
    <t>Time passed since a task started</t>
  </si>
  <si>
    <t>Due dates or expiry dates</t>
  </si>
  <si>
    <t>→ Calculates how many days have passed since the date in A2.</t>
  </si>
  <si>
    <t>3. Tracking Deadlines and Due Dates</t>
  </si>
  <si>
    <t>Overdue tasks</t>
  </si>
  <si>
    <t>Upcoming deadlines</t>
  </si>
  <si>
    <t>Expiring contracts or memberships</t>
  </si>
  <si>
    <t>4. Automating Reports and Dashboards</t>
  </si>
  <si>
    <t>Daily refresh of charts</t>
  </si>
  <si>
    <t>Updated KPIs</t>
  </si>
  <si>
    <t>Accurate time-based calculations</t>
  </si>
  <si>
    <t>This makes dashboards dynamic and reliable.</t>
  </si>
  <si>
    <t>5. Cleaning and Standardizing Date Data</t>
  </si>
  <si>
    <t>When date fields are mixed or incorrect, date functions help:</t>
  </si>
  <si>
    <t>Convert text to proper date format</t>
  </si>
  <si>
    <t>Validate date entries</t>
  </si>
  <si>
    <t>Organize or sort datasets by date</t>
  </si>
  <si>
    <r>
      <t>TODAY()</t>
    </r>
    <r>
      <rPr>
        <sz val="12"/>
        <color theme="1"/>
        <rFont val="Calibri"/>
        <family val="2"/>
        <scheme val="minor"/>
      </rPr>
      <t xml:space="preserve"> returns the current date and updates </t>
    </r>
    <r>
      <rPr>
        <b/>
        <sz val="12"/>
        <color theme="1"/>
        <rFont val="Calibri"/>
        <family val="2"/>
        <scheme val="minor"/>
      </rPr>
      <t>every day</t>
    </r>
    <r>
      <rPr>
        <sz val="12"/>
        <color theme="1"/>
        <rFont val="Calibri"/>
        <family val="2"/>
        <scheme val="minor"/>
      </rPr>
      <t xml:space="preserve"> automatically.</t>
    </r>
  </si>
  <si>
    <r>
      <t xml:space="preserve">This helps keep reports and dashboards </t>
    </r>
    <r>
      <rPr>
        <b/>
        <sz val="12"/>
        <color theme="1"/>
        <rFont val="Calibri"/>
        <family val="2"/>
        <scheme val="minor"/>
      </rPr>
      <t>always up-to-date</t>
    </r>
    <r>
      <rPr>
        <sz val="12"/>
        <color theme="1"/>
        <rFont val="Calibri"/>
        <family val="2"/>
        <scheme val="minor"/>
      </rPr>
      <t xml:space="preserve"> without manually changing dates.</t>
    </r>
  </si>
  <si>
    <r>
      <t xml:space="preserve">Useful when combined with </t>
    </r>
    <r>
      <rPr>
        <b/>
        <sz val="12"/>
        <color theme="1"/>
        <rFont val="Calibri"/>
        <family val="2"/>
        <scheme val="minor"/>
      </rPr>
      <t>conditional formatting</t>
    </r>
    <r>
      <rPr>
        <sz val="12"/>
        <color theme="1"/>
        <rFont val="Calibri"/>
        <family val="2"/>
        <scheme val="minor"/>
      </rPr>
      <t>.</t>
    </r>
  </si>
  <si>
    <r>
      <t xml:space="preserve">Instead of entering the current date manually, </t>
    </r>
    <r>
      <rPr>
        <sz val="12"/>
        <color theme="1"/>
        <rFont val="Arial Unicode MS"/>
      </rPr>
      <t>TODAY()</t>
    </r>
    <r>
      <rPr>
        <sz val="12"/>
        <color theme="1"/>
        <rFont val="Calibri"/>
        <family val="2"/>
        <scheme val="minor"/>
      </rPr>
      <t xml:space="preserve"> ensures:</t>
    </r>
  </si>
  <si>
    <r>
      <t xml:space="preserve">We can use </t>
    </r>
    <r>
      <rPr>
        <sz val="12"/>
        <color theme="1"/>
        <rFont val="Arial Unicode MS"/>
      </rPr>
      <t>TODAY()</t>
    </r>
    <r>
      <rPr>
        <sz val="12"/>
        <color theme="1"/>
        <rFont val="Calibri"/>
        <family val="2"/>
        <scheme val="minor"/>
      </rPr>
      <t xml:space="preserve"> to highlight:</t>
    </r>
  </si>
  <si>
    <t>6. Understand and apply fundamental text functions like LEFT, RIGHT, MID, and LEN.</t>
  </si>
  <si>
    <t>Extract the first 5 characters from the string "ExcelTipsAreGreat" using the LEFT function.</t>
  </si>
  <si>
    <t>ExcelTipsAreGreat</t>
  </si>
  <si>
    <t>Extract the last 4 characters from "DataAnalysis.xlsx" using the RIGHT function.</t>
  </si>
  <si>
    <t>DataAnalysis.xlsx</t>
  </si>
  <si>
    <t>Extract the substring "Tips" from "ExcelTipsAreGreat" using the MID function.</t>
  </si>
  <si>
    <t>Count the total number of characters in the string "Hello World!" using the LEN function.</t>
  </si>
  <si>
    <t>Hello World!</t>
  </si>
  <si>
    <t>Create a formula to extract the middle 6 characters from "12345-67890-ABCDE".</t>
  </si>
  <si>
    <t>12345-67890-ABCDE</t>
  </si>
  <si>
    <t>7. Understand how to combine text using CONCAT, TEXTJOIN, and the &amp; operator.</t>
  </si>
  <si>
    <t>A. Use CONCAT to combine "Hello" and "World" with a space in between.</t>
  </si>
  <si>
    <t>Hello</t>
  </si>
  <si>
    <t>World</t>
  </si>
  <si>
    <t>B. Combine "Apple", "Banana", and "Cherry" into a single string separated by commas using TEXTJOIN.</t>
  </si>
  <si>
    <t>"TEXTJOIN(",", TRUE, "Apple", "Banana", "Cherry")"</t>
  </si>
  <si>
    <t>In my version of Excel TextJoin formula is not available so I have written down the formula like above</t>
  </si>
  <si>
    <t>C. Use the &amp; operator to create the string "2025: Excel Functions" by combining "2025", ": ", and "Excel Functions".</t>
  </si>
  <si>
    <t>:</t>
  </si>
  <si>
    <t>Excel Functions</t>
  </si>
  <si>
    <t>A</t>
  </si>
  <si>
    <t>B</t>
  </si>
  <si>
    <t>C</t>
  </si>
  <si>
    <t>D</t>
  </si>
  <si>
    <t>E</t>
  </si>
  <si>
    <t>"=TEXTJOIN(",", TRUE, A1:A5)"</t>
  </si>
  <si>
    <t>D. Create a comma-separated list from the range A1:A5 using TEXTJOIN</t>
  </si>
  <si>
    <t>E. Combine first names in column A with last names in column B to create full names in column C.</t>
  </si>
  <si>
    <t>Shubham</t>
  </si>
  <si>
    <t>Sharma</t>
  </si>
  <si>
    <t>Yogesh</t>
  </si>
  <si>
    <t>8. Understanding TODAY() and NOW()</t>
  </si>
  <si>
    <t>Function</t>
  </si>
  <si>
    <t>Returns</t>
  </si>
  <si>
    <t>Updates</t>
  </si>
  <si>
    <t>TODAY()</t>
  </si>
  <si>
    <t>Changes when the worksheet recalculates or the date changes</t>
  </si>
  <si>
    <t>Use when you only need the date</t>
  </si>
  <si>
    <t>NOW()</t>
  </si>
  <si>
    <t>Changes every time Excel recalculates and as time passes</t>
  </si>
  <si>
    <t>The current date only</t>
  </si>
  <si>
    <t>The current date and time</t>
  </si>
  <si>
    <t>Uses</t>
  </si>
  <si>
    <t>Use when you need both date and time</t>
  </si>
  <si>
    <t>Below are the difference between "Today()" and Now()" Functions</t>
  </si>
  <si>
    <t>Examples of when to use each</t>
  </si>
  <si>
    <r>
      <t xml:space="preserve">1. </t>
    </r>
    <r>
      <rPr>
        <b/>
        <sz val="10"/>
        <color theme="1"/>
        <rFont val="Arial Unicode MS"/>
      </rPr>
      <t>TODAY()</t>
    </r>
    <r>
      <rPr>
        <b/>
        <sz val="12"/>
        <color theme="1"/>
        <rFont val="Calibri"/>
        <family val="2"/>
        <scheme val="minor"/>
      </rPr>
      <t xml:space="preserve"> Example</t>
    </r>
  </si>
  <si>
    <r>
      <t xml:space="preserve">Use </t>
    </r>
    <r>
      <rPr>
        <sz val="10"/>
        <color theme="1"/>
        <rFont val="Arial Unicode MS"/>
      </rPr>
      <t>TODAY()</t>
    </r>
    <r>
      <rPr>
        <sz val="11"/>
        <color theme="1"/>
        <rFont val="Calibri"/>
        <family val="2"/>
        <scheme val="minor"/>
      </rPr>
      <t xml:space="preserve"> to calculate someone’s age:</t>
    </r>
  </si>
  <si>
    <t>This only needs the date—time of day is irrelevant.</t>
  </si>
  <si>
    <r>
      <t xml:space="preserve">2. </t>
    </r>
    <r>
      <rPr>
        <b/>
        <sz val="10"/>
        <color theme="1"/>
        <rFont val="Arial Unicode MS"/>
      </rPr>
      <t>NOW()</t>
    </r>
    <r>
      <rPr>
        <b/>
        <sz val="12"/>
        <color theme="1"/>
        <rFont val="Calibri"/>
        <family val="2"/>
        <scheme val="minor"/>
      </rPr>
      <t xml:space="preserve"> Example</t>
    </r>
  </si>
  <si>
    <r>
      <t xml:space="preserve">Use </t>
    </r>
    <r>
      <rPr>
        <sz val="10"/>
        <color theme="1"/>
        <rFont val="Arial Unicode MS"/>
      </rPr>
      <t>NOW()</t>
    </r>
    <r>
      <rPr>
        <sz val="11"/>
        <color theme="1"/>
        <rFont val="Calibri"/>
        <family val="2"/>
        <scheme val="minor"/>
      </rPr>
      <t xml:space="preserve"> to timestamp when a task was completed (if formulas are later replaced with values):</t>
    </r>
  </si>
  <si>
    <t>A. What is the difference between TODAY() and NOW() in Excel? Provide an example of when you would use  each funct</t>
  </si>
  <si>
    <t>B. If cell A1 contains the date 2025-06-10, write a formula using TODAY() to determine how many days are left until that date</t>
  </si>
  <si>
    <t>C. Write an Excel formula using NOW() to display the current date and time in the format MM/DD/YYYY HH:MM AM/PM. ́</t>
  </si>
  <si>
    <t>D. If a cell contains =TODAY(), what will happen when the worksheet is reopened the next day? Explain</t>
  </si>
  <si>
    <r>
      <t xml:space="preserve">When we open the worksheet the next day, </t>
    </r>
    <r>
      <rPr>
        <sz val="10"/>
        <color theme="1"/>
        <rFont val="Arial Unicode MS"/>
      </rPr>
      <t>TODAY()</t>
    </r>
    <r>
      <rPr>
        <sz val="11"/>
        <color theme="1"/>
        <rFont val="Calibri"/>
        <family val="2"/>
        <scheme val="minor"/>
      </rPr>
      <t xml:space="preserve"> recalculates automatically and updates to the new current date.</t>
    </r>
  </si>
  <si>
    <r>
      <t xml:space="preserve">Today we open the sheet → </t>
    </r>
    <r>
      <rPr>
        <sz val="10"/>
        <color theme="1"/>
        <rFont val="Arial Unicode MS"/>
      </rPr>
      <t>=TODAY()</t>
    </r>
    <r>
      <rPr>
        <sz val="11"/>
        <color theme="1"/>
        <rFont val="Calibri"/>
        <family val="2"/>
        <scheme val="minor"/>
      </rPr>
      <t xml:space="preserve"> displays </t>
    </r>
    <r>
      <rPr>
        <b/>
        <sz val="11"/>
        <color theme="1"/>
        <rFont val="Calibri"/>
        <family val="2"/>
        <scheme val="minor"/>
      </rPr>
      <t>2025-02-12</t>
    </r>
  </si>
  <si>
    <r>
      <t xml:space="preserve">Tomorrow We open it → it will display </t>
    </r>
    <r>
      <rPr>
        <b/>
        <sz val="11"/>
        <color theme="1"/>
        <rFont val="Calibri"/>
        <family val="2"/>
        <scheme val="minor"/>
      </rPr>
      <t>2025-02-13</t>
    </r>
  </si>
  <si>
    <t>Ctrl + ;</t>
  </si>
  <si>
    <r>
      <t xml:space="preserve">(hold </t>
    </r>
    <r>
      <rPr>
        <b/>
        <sz val="11"/>
        <color theme="1"/>
        <rFont val="Calibri"/>
        <family val="2"/>
        <scheme val="minor"/>
      </rPr>
      <t>Ctrl</t>
    </r>
    <r>
      <rPr>
        <sz val="11"/>
        <color theme="1"/>
        <rFont val="Calibri"/>
        <family val="2"/>
        <scheme val="minor"/>
      </rPr>
      <t>, then press the semicolon)</t>
    </r>
  </si>
  <si>
    <r>
      <t xml:space="preserve">This inserts the </t>
    </r>
    <r>
      <rPr>
        <b/>
        <sz val="11"/>
        <color theme="1"/>
        <rFont val="Calibri"/>
        <family val="2"/>
        <scheme val="minor"/>
      </rPr>
      <t>current date</t>
    </r>
    <r>
      <rPr>
        <sz val="11"/>
        <color theme="1"/>
        <rFont val="Calibri"/>
        <family val="2"/>
        <scheme val="minor"/>
      </rPr>
      <t xml:space="preserve"> as a fixed value that will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update automatically.</t>
    </r>
  </si>
  <si>
    <t>To enter today’s date as a static value (not a formula that changes), use this keyboard shortcut:</t>
  </si>
  <si>
    <t>Static Date Shortcut</t>
  </si>
  <si>
    <t>E. You want to store a static date (today’s date) in a cell without it changing every day. What keyboard shortcut you should use?</t>
  </si>
  <si>
    <t>5. Apply Data Validation to restrict Quantity values to only whole numbers between 1 and 10.</t>
  </si>
  <si>
    <t>A. Configure an input message that appears when a user selects a cell in the "Quantity" column explaining:  "Please enter a whole number between 1 and 10."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</si>
  <si>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</si>
  <si>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</si>
  <si>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</si>
  <si>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</si>
  <si>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</si>
  <si>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</si>
  <si>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</si>
  <si>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</si>
  <si>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</si>
  <si>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</si>
  <si>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</si>
  <si>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</si>
  <si>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</si>
  <si>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</si>
  <si>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</si>
  <si>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</si>
  <si>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</si>
  <si>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</si>
  <si>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</si>
  <si>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</si>
  <si>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</si>
  <si>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</si>
  <si>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</si>
  <si>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</si>
  <si>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B. Set up an error alert message that triggers if the user enters a number less than 1 or greater than 10, showing:  "Invalid input! The quantity must be a whole number between 1 and 10."</t>
  </si>
  <si>
    <t>Steps</t>
  </si>
  <si>
    <t>1. Select the Quantity column</t>
  </si>
  <si>
    <t>Click and drag to select all the cells where quantity values will be entered</t>
  </si>
  <si>
    <t>2. Open Data Validation</t>
  </si>
  <si>
    <t>3. Set the validation rules</t>
  </si>
  <si>
    <t>Set:</t>
  </si>
  <si>
    <t>4. Create the Input Message</t>
  </si>
  <si>
    <t>3. Enter:</t>
  </si>
  <si>
    <t>Input Message:</t>
  </si>
  <si>
    <t>Please enter a whole number between 1 and 10.</t>
  </si>
  <si>
    <t>5. Set the Error Alert</t>
  </si>
  <si>
    <t>4. Enter:</t>
  </si>
  <si>
    <t>Error message:</t>
  </si>
  <si>
    <t>The quantity must be a whole number between 1 and 10.</t>
  </si>
  <si>
    <t>6. Click OK to apply the validation</t>
  </si>
  <si>
    <r>
      <t xml:space="preserve">1. Go to the </t>
    </r>
    <r>
      <rPr>
        <b/>
        <sz val="12"/>
        <color theme="1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 xml:space="preserve"> tab on the Ribbon.</t>
    </r>
  </si>
  <si>
    <r>
      <t xml:space="preserve">1. In the </t>
    </r>
    <r>
      <rPr>
        <b/>
        <sz val="12"/>
        <color theme="1"/>
        <rFont val="Calibri"/>
        <family val="2"/>
        <scheme val="minor"/>
      </rPr>
      <t>Settings</t>
    </r>
    <r>
      <rPr>
        <sz val="12"/>
        <color theme="1"/>
        <rFont val="Calibri"/>
        <family val="2"/>
        <scheme val="minor"/>
      </rPr>
      <t xml:space="preserve"> tab:</t>
    </r>
  </si>
  <si>
    <r>
      <t xml:space="preserve">Under </t>
    </r>
    <r>
      <rPr>
        <b/>
        <sz val="12"/>
        <color theme="1"/>
        <rFont val="Calibri"/>
        <family val="2"/>
        <scheme val="minor"/>
      </rPr>
      <t>Allow</t>
    </r>
    <r>
      <rPr>
        <sz val="12"/>
        <color theme="1"/>
        <rFont val="Calibri"/>
        <family val="2"/>
        <scheme val="minor"/>
      </rPr>
      <t xml:space="preserve">, choose </t>
    </r>
    <r>
      <rPr>
        <b/>
        <sz val="12"/>
        <color theme="1"/>
        <rFont val="Calibri"/>
        <family val="2"/>
        <scheme val="minor"/>
      </rPr>
      <t>Whole number</t>
    </r>
    <r>
      <rPr>
        <sz val="12"/>
        <color theme="1"/>
        <rFont val="Calibri"/>
        <family val="2"/>
        <scheme val="minor"/>
      </rPr>
      <t>.</t>
    </r>
  </si>
  <si>
    <r>
      <t xml:space="preserve">Under </t>
    </r>
    <r>
      <rPr>
        <b/>
        <sz val="12"/>
        <color theme="1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 xml:space="preserve">, select </t>
    </r>
    <r>
      <rPr>
        <b/>
        <sz val="12"/>
        <color theme="1"/>
        <rFont val="Calibri"/>
        <family val="2"/>
        <scheme val="minor"/>
      </rPr>
      <t>between</t>
    </r>
    <r>
      <rPr>
        <sz val="12"/>
        <color theme="1"/>
        <rFont val="Calibri"/>
        <family val="2"/>
        <scheme val="minor"/>
      </rPr>
      <t>.</t>
    </r>
  </si>
  <si>
    <r>
      <t>Minimum: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Arial Unicode MS"/>
      </rPr>
      <t>1</t>
    </r>
  </si>
  <si>
    <r>
      <t>Maximum: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Arial Unicode MS"/>
      </rPr>
      <t>10</t>
    </r>
  </si>
  <si>
    <r>
      <t xml:space="preserve">1. Go to the </t>
    </r>
    <r>
      <rPr>
        <b/>
        <sz val="12"/>
        <color theme="1"/>
        <rFont val="Calibri"/>
        <family val="2"/>
        <scheme val="minor"/>
      </rPr>
      <t>Input Message</t>
    </r>
    <r>
      <rPr>
        <sz val="12"/>
        <color theme="1"/>
        <rFont val="Calibri"/>
        <family val="2"/>
        <scheme val="minor"/>
      </rPr>
      <t xml:space="preserve"> tab.</t>
    </r>
  </si>
  <si>
    <r>
      <t xml:space="preserve">2. Check </t>
    </r>
    <r>
      <rPr>
        <b/>
        <sz val="12"/>
        <color theme="1"/>
        <rFont val="Calibri"/>
        <family val="2"/>
        <scheme val="minor"/>
      </rPr>
      <t>“Show input message when cell is selected.”</t>
    </r>
  </si>
  <si>
    <r>
      <t>Title: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Arial Unicode MS"/>
      </rPr>
      <t>Quantity Input</t>
    </r>
    <r>
      <rPr>
        <sz val="12"/>
        <color theme="1"/>
        <rFont val="Calibri"/>
        <family val="2"/>
        <scheme val="minor"/>
      </rPr>
      <t xml:space="preserve"> (optional)</t>
    </r>
  </si>
  <si>
    <r>
      <t xml:space="preserve">1. Go to the </t>
    </r>
    <r>
      <rPr>
        <b/>
        <sz val="12"/>
        <color theme="1"/>
        <rFont val="Calibri"/>
        <family val="2"/>
        <scheme val="minor"/>
      </rPr>
      <t>Error Alert</t>
    </r>
    <r>
      <rPr>
        <sz val="12"/>
        <color theme="1"/>
        <rFont val="Calibri"/>
        <family val="2"/>
        <scheme val="minor"/>
      </rPr>
      <t xml:space="preserve"> tab.</t>
    </r>
  </si>
  <si>
    <r>
      <t xml:space="preserve">2. Check </t>
    </r>
    <r>
      <rPr>
        <b/>
        <sz val="12"/>
        <color theme="1"/>
        <rFont val="Calibri"/>
        <family val="2"/>
        <scheme val="minor"/>
      </rPr>
      <t>"Show error alert after invalid data is entered."</t>
    </r>
  </si>
  <si>
    <r>
      <t>Title: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Arial Unicode MS"/>
      </rPr>
      <t>Invalid input!</t>
    </r>
  </si>
  <si>
    <r>
      <t xml:space="preserve">2. Click </t>
    </r>
    <r>
      <rPr>
        <b/>
        <sz val="12"/>
        <color theme="1"/>
        <rFont val="Calibri"/>
        <family val="2"/>
        <scheme val="minor"/>
      </rPr>
      <t>Data Validation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</si>
</sst>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F800]dddd\,\ mmmm\ dd\,\ 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0"/>
      <color theme="1"/>
      <name val="Arial Unicode MS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2" fillId="2" borderId="0" xfId="0" applyFont="1" applyFill="1"/>
    <xf numFmtId="0" fontId="0" fillId="2" borderId="0" xfId="0" applyFont="1" applyFill="1"/>
    <xf numFmtId="0" fontId="0" fillId="2" borderId="0" xfId="0" applyFill="1"/>
    <xf numFmtId="0" fontId="4" fillId="2" borderId="0" xfId="0" applyFont="1" applyFill="1"/>
    <xf numFmtId="0" fontId="4" fillId="0" borderId="0" xfId="0" applyFont="1" applyAlignment="1">
      <alignment horizontal="left" vertical="center" indent="2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0" xfId="0" applyFont="1" applyAlignment="1">
      <alignment vertical="center"/>
    </xf>
    <xf numFmtId="22" fontId="0" fillId="0" borderId="0" xfId="0" applyNumberFormat="1"/>
    <xf numFmtId="22" fontId="9" fillId="4" borderId="0" xfId="0" applyNumberFormat="1" applyFont="1" applyFill="1" applyAlignment="1">
      <alignment vertical="center"/>
    </xf>
    <xf numFmtId="0" fontId="9" fillId="4" borderId="0" xfId="0" applyFont="1" applyFill="1" applyAlignment="1">
      <alignment vertical="center"/>
    </xf>
    <xf numFmtId="14" fontId="0" fillId="0" borderId="0" xfId="0" applyNumberFormat="1"/>
    <xf numFmtId="169" fontId="0" fillId="0" borderId="0" xfId="0" applyNumberFormat="1"/>
    <xf numFmtId="0" fontId="0" fillId="4" borderId="0" xfId="0" applyNumberFormat="1" applyFill="1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6" borderId="0" xfId="0" applyFont="1" applyFill="1"/>
    <xf numFmtId="0" fontId="0" fillId="6" borderId="0" xfId="0" applyFill="1"/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3"/>
    </xf>
    <xf numFmtId="0" fontId="6" fillId="0" borderId="0" xfId="0" applyFont="1" applyAlignment="1">
      <alignment horizontal="left" vertical="center" indent="2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0028-3D7C-48EB-8C82-C9BE0EB0B5DB}">
  <dimension ref="A1:P59"/>
  <sheetViews>
    <sheetView showGridLines="0" tabSelected="1" workbookViewId="0"/>
  </sheetViews>
  <sheetFormatPr defaultRowHeight="14.5"/>
  <cols>
    <col min="1" max="16" width="8.7265625" style="2"/>
  </cols>
  <sheetData>
    <row r="1" spans="1:16" s="9" customForma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3" spans="1:16">
      <c r="A3" s="2" t="s">
        <v>1</v>
      </c>
    </row>
    <row r="4" spans="1:16">
      <c r="A4" s="1" t="s">
        <v>22</v>
      </c>
    </row>
    <row r="5" spans="1:16">
      <c r="A5" s="2" t="s">
        <v>2</v>
      </c>
    </row>
    <row r="7" spans="1:16" ht="15.5">
      <c r="A7" s="4" t="s">
        <v>3</v>
      </c>
      <c r="D7" s="3"/>
    </row>
    <row r="8" spans="1:16" ht="15.5">
      <c r="A8" s="3"/>
    </row>
    <row r="9" spans="1:16" ht="15.5">
      <c r="A9" s="5" t="s">
        <v>4</v>
      </c>
    </row>
    <row r="10" spans="1:16" ht="15.5">
      <c r="A10" s="3" t="s">
        <v>5</v>
      </c>
    </row>
    <row r="11" spans="1:16" ht="15.5">
      <c r="A11" s="3"/>
    </row>
    <row r="12" spans="1:16" ht="15.5">
      <c r="A12" s="5" t="s">
        <v>6</v>
      </c>
    </row>
    <row r="13" spans="1:16" ht="15.5">
      <c r="A13" s="3" t="s">
        <v>7</v>
      </c>
    </row>
    <row r="14" spans="1:16" ht="15.5">
      <c r="A14" s="3"/>
    </row>
    <row r="15" spans="1:16" ht="15.5">
      <c r="A15" s="5" t="s">
        <v>8</v>
      </c>
    </row>
    <row r="16" spans="1:16" ht="15.5">
      <c r="A16" s="3" t="s">
        <v>9</v>
      </c>
    </row>
    <row r="17" spans="1:16" ht="15.5">
      <c r="A17" s="3"/>
    </row>
    <row r="18" spans="1:16" ht="15.5">
      <c r="A18" s="5" t="s">
        <v>10</v>
      </c>
    </row>
    <row r="19" spans="1:16" ht="15.5">
      <c r="A19" s="3" t="s">
        <v>11</v>
      </c>
    </row>
    <row r="20" spans="1:16" ht="15.5">
      <c r="A20" s="3"/>
    </row>
    <row r="21" spans="1:16" ht="15.5">
      <c r="A21" s="5" t="s">
        <v>12</v>
      </c>
    </row>
    <row r="22" spans="1:16" ht="15.5">
      <c r="A22" s="3" t="s">
        <v>13</v>
      </c>
    </row>
    <row r="23" spans="1:16" ht="15.5">
      <c r="A23" s="3"/>
    </row>
    <row r="24" spans="1:16" s="9" customFormat="1" ht="15.5">
      <c r="A24" s="10" t="s">
        <v>14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15.5">
      <c r="A25" s="3" t="s">
        <v>1</v>
      </c>
    </row>
    <row r="26" spans="1:16" ht="15.5">
      <c r="A26" s="5" t="s">
        <v>15</v>
      </c>
    </row>
    <row r="27" spans="1:16" ht="15.5">
      <c r="A27" s="3" t="s">
        <v>16</v>
      </c>
    </row>
    <row r="28" spans="1:16" ht="15.5">
      <c r="A28" s="3"/>
    </row>
    <row r="29" spans="1:16" ht="15.5">
      <c r="A29" s="5" t="s">
        <v>17</v>
      </c>
    </row>
    <row r="30" spans="1:16" ht="15.5">
      <c r="A30" s="3" t="s">
        <v>18</v>
      </c>
    </row>
    <row r="31" spans="1:16" ht="15.5">
      <c r="A31" s="3"/>
    </row>
    <row r="32" spans="1:16" ht="15.5">
      <c r="A32" s="5" t="s">
        <v>19</v>
      </c>
    </row>
    <row r="33" spans="1:16" ht="15.5">
      <c r="A33" s="3" t="s">
        <v>20</v>
      </c>
    </row>
    <row r="34" spans="1:16" ht="15.5">
      <c r="A34" s="3"/>
    </row>
    <row r="35" spans="1:16" s="9" customFormat="1" ht="15.5">
      <c r="A35" s="10" t="s">
        <v>21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5.5">
      <c r="A36" s="3" t="s">
        <v>1</v>
      </c>
    </row>
    <row r="37" spans="1:16" ht="15.5">
      <c r="A37" s="5" t="s">
        <v>23</v>
      </c>
    </row>
    <row r="38" spans="1:16" ht="15.5">
      <c r="A38" s="6" t="s">
        <v>24</v>
      </c>
    </row>
    <row r="39" spans="1:16" ht="15.5">
      <c r="A39" s="6" t="s">
        <v>25</v>
      </c>
    </row>
    <row r="40" spans="1:16" ht="15.5">
      <c r="A40" s="6" t="s">
        <v>26</v>
      </c>
    </row>
    <row r="41" spans="1:16" ht="15.5">
      <c r="A41" s="3"/>
    </row>
    <row r="42" spans="1:16" ht="15.5">
      <c r="A42" s="5" t="s">
        <v>27</v>
      </c>
    </row>
    <row r="43" spans="1:16" ht="15.5">
      <c r="A43" s="6" t="s">
        <v>28</v>
      </c>
    </row>
    <row r="44" spans="1:16" ht="15.5">
      <c r="A44" s="6" t="s">
        <v>29</v>
      </c>
    </row>
    <row r="45" spans="1:16" ht="15.5">
      <c r="A45" s="3"/>
    </row>
    <row r="46" spans="1:16" ht="15.5">
      <c r="A46" s="5" t="s">
        <v>30</v>
      </c>
    </row>
    <row r="47" spans="1:16" ht="15.5">
      <c r="A47" s="6" t="s">
        <v>31</v>
      </c>
    </row>
    <row r="48" spans="1:16" ht="15.5">
      <c r="A48" s="6" t="s">
        <v>32</v>
      </c>
    </row>
    <row r="49" spans="1:1" ht="15.5">
      <c r="A49" s="3"/>
    </row>
    <row r="50" spans="1:1" ht="15.5">
      <c r="A50" s="5" t="s">
        <v>33</v>
      </c>
    </row>
    <row r="51" spans="1:1" ht="15.5">
      <c r="A51" s="6" t="s">
        <v>34</v>
      </c>
    </row>
    <row r="52" spans="1:1" ht="15.5">
      <c r="A52" s="3"/>
    </row>
    <row r="53" spans="1:1" ht="15.5">
      <c r="A53" s="5" t="s">
        <v>35</v>
      </c>
    </row>
    <row r="54" spans="1:1" ht="15.5">
      <c r="A54" s="6" t="s">
        <v>36</v>
      </c>
    </row>
    <row r="55" spans="1:1" ht="15.5">
      <c r="A55" s="6" t="s">
        <v>37</v>
      </c>
    </row>
    <row r="56" spans="1:1" ht="15.5">
      <c r="A56" s="3"/>
    </row>
    <row r="57" spans="1:1" ht="15.5">
      <c r="A57" s="5" t="s">
        <v>38</v>
      </c>
    </row>
    <row r="58" spans="1:1" ht="15.5">
      <c r="A58" s="6" t="s">
        <v>39</v>
      </c>
    </row>
    <row r="59" spans="1:1" ht="15.5">
      <c r="A59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74FE-37B3-4485-9F9A-C82DFE165E6B}">
  <dimension ref="A1:C35"/>
  <sheetViews>
    <sheetView showGridLines="0" workbookViewId="0">
      <selection activeCell="E9" sqref="E9"/>
    </sheetView>
  </sheetViews>
  <sheetFormatPr defaultRowHeight="14.5"/>
  <cols>
    <col min="1" max="1" width="9" bestFit="1" customWidth="1"/>
    <col min="2" max="2" width="11.08984375" bestFit="1" customWidth="1"/>
    <col min="3" max="3" width="5.81640625" bestFit="1" customWidth="1"/>
  </cols>
  <sheetData>
    <row r="1" spans="1:3" s="9" customFormat="1">
      <c r="A1" s="7" t="s">
        <v>58</v>
      </c>
    </row>
    <row r="2" spans="1:3">
      <c r="A2" s="1"/>
    </row>
    <row r="3" spans="1:3">
      <c r="A3" s="12" t="s">
        <v>59</v>
      </c>
      <c r="B3" s="12" t="s">
        <v>60</v>
      </c>
      <c r="C3" s="12" t="s">
        <v>61</v>
      </c>
    </row>
    <row r="4" spans="1:3">
      <c r="A4" s="13" t="s">
        <v>62</v>
      </c>
      <c r="B4" s="13" t="s">
        <v>65</v>
      </c>
      <c r="C4" s="13">
        <v>4000</v>
      </c>
    </row>
    <row r="5" spans="1:3">
      <c r="A5" s="13" t="s">
        <v>63</v>
      </c>
      <c r="B5" s="13" t="s">
        <v>66</v>
      </c>
      <c r="C5" s="13">
        <v>5000</v>
      </c>
    </row>
    <row r="6" spans="1:3">
      <c r="A6" s="13" t="s">
        <v>64</v>
      </c>
      <c r="B6" s="13" t="s">
        <v>65</v>
      </c>
      <c r="C6" s="13">
        <v>2500</v>
      </c>
    </row>
    <row r="7" spans="1:3">
      <c r="A7" s="14"/>
      <c r="B7" s="14"/>
      <c r="C7" s="14"/>
    </row>
    <row r="8" spans="1:3">
      <c r="A8" s="15" t="s">
        <v>1</v>
      </c>
    </row>
    <row r="9" spans="1:3">
      <c r="A9" s="16" t="s">
        <v>59</v>
      </c>
      <c r="B9" s="16" t="s">
        <v>60</v>
      </c>
      <c r="C9" s="16" t="s">
        <v>61</v>
      </c>
    </row>
    <row r="10" spans="1:3">
      <c r="A10" s="17" t="s">
        <v>63</v>
      </c>
      <c r="B10" s="17" t="s">
        <v>66</v>
      </c>
      <c r="C10" s="17">
        <v>5000</v>
      </c>
    </row>
    <row r="11" spans="1:3">
      <c r="A11" s="17" t="s">
        <v>62</v>
      </c>
      <c r="B11" s="17" t="s">
        <v>65</v>
      </c>
      <c r="C11" s="17">
        <v>4000</v>
      </c>
    </row>
    <row r="12" spans="1:3">
      <c r="A12" s="17" t="s">
        <v>64</v>
      </c>
      <c r="B12" s="17" t="s">
        <v>65</v>
      </c>
      <c r="C12" s="17">
        <v>2500</v>
      </c>
    </row>
    <row r="13" spans="1:3">
      <c r="A13" s="14"/>
      <c r="B13" s="14"/>
      <c r="C13" s="14"/>
    </row>
    <row r="14" spans="1:3" ht="15.5">
      <c r="A14" s="5" t="s">
        <v>41</v>
      </c>
    </row>
    <row r="15" spans="1:3" ht="15.5">
      <c r="A15" s="3" t="s">
        <v>48</v>
      </c>
    </row>
    <row r="16" spans="1:3" ht="15.5">
      <c r="A16" s="3"/>
    </row>
    <row r="17" spans="1:1" ht="15.5">
      <c r="A17" s="5" t="s">
        <v>42</v>
      </c>
    </row>
    <row r="18" spans="1:1" ht="15.5">
      <c r="A18" s="6" t="s">
        <v>49</v>
      </c>
    </row>
    <row r="19" spans="1:1" ht="15.5">
      <c r="A19" s="6" t="s">
        <v>50</v>
      </c>
    </row>
    <row r="20" spans="1:1" ht="15.5">
      <c r="A20" s="3"/>
    </row>
    <row r="21" spans="1:1" ht="15.5">
      <c r="A21" s="5" t="s">
        <v>43</v>
      </c>
    </row>
    <row r="22" spans="1:1" ht="15.5">
      <c r="A22" s="6" t="s">
        <v>44</v>
      </c>
    </row>
    <row r="23" spans="1:1" ht="15.5">
      <c r="A23" s="11" t="s">
        <v>51</v>
      </c>
    </row>
    <row r="24" spans="1:1" ht="15.5">
      <c r="A24" s="11" t="s">
        <v>52</v>
      </c>
    </row>
    <row r="25" spans="1:1" ht="15.5">
      <c r="A25" s="11" t="s">
        <v>53</v>
      </c>
    </row>
    <row r="26" spans="1:1" ht="15.5">
      <c r="A26" s="3"/>
    </row>
    <row r="27" spans="1:1" ht="15.5">
      <c r="A27" s="5" t="s">
        <v>45</v>
      </c>
    </row>
    <row r="28" spans="1:1" ht="15.5">
      <c r="A28" s="6" t="s">
        <v>54</v>
      </c>
    </row>
    <row r="29" spans="1:1" ht="15.5">
      <c r="A29" s="6" t="s">
        <v>46</v>
      </c>
    </row>
    <row r="30" spans="1:1" ht="15.5">
      <c r="A30" s="11" t="s">
        <v>55</v>
      </c>
    </row>
    <row r="31" spans="1:1" ht="15.5">
      <c r="A31" s="11" t="s">
        <v>52</v>
      </c>
    </row>
    <row r="32" spans="1:1" ht="15.5">
      <c r="A32" s="11" t="s">
        <v>56</v>
      </c>
    </row>
    <row r="33" spans="1:1" ht="15.5">
      <c r="A33" s="3"/>
    </row>
    <row r="34" spans="1:1" ht="15.5">
      <c r="A34" s="5" t="s">
        <v>47</v>
      </c>
    </row>
    <row r="35" spans="1:1" ht="15.5">
      <c r="A35" s="3" t="s">
        <v>57</v>
      </c>
    </row>
  </sheetData>
  <sortState xmlns:xlrd2="http://schemas.microsoft.com/office/spreadsheetml/2017/richdata2" ref="A10:C12">
    <sortCondition ref="B10:B12"/>
    <sortCondition descending="1" ref="C10:C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9A78-C847-4561-AE29-F90C15917932}">
  <dimension ref="A1:A78"/>
  <sheetViews>
    <sheetView showGridLines="0" topLeftCell="A35" workbookViewId="0"/>
  </sheetViews>
  <sheetFormatPr defaultRowHeight="14.5"/>
  <sheetData>
    <row r="1" spans="1:1" s="9" customFormat="1" ht="15.5">
      <c r="A1" s="10" t="s">
        <v>67</v>
      </c>
    </row>
    <row r="2" spans="1:1" ht="15.5">
      <c r="A2" s="3"/>
    </row>
    <row r="3" spans="1:1" ht="15.5">
      <c r="A3" s="3" t="s">
        <v>1</v>
      </c>
    </row>
    <row r="4" spans="1:1" ht="15.5">
      <c r="A4" s="5" t="s">
        <v>93</v>
      </c>
    </row>
    <row r="5" spans="1:1" ht="15.5">
      <c r="A5" s="3"/>
    </row>
    <row r="6" spans="1:1" ht="15.5">
      <c r="A6" s="5" t="s">
        <v>68</v>
      </c>
    </row>
    <row r="7" spans="1:1" ht="15.5">
      <c r="A7" s="3" t="s">
        <v>69</v>
      </c>
    </row>
    <row r="8" spans="1:1" ht="15.5">
      <c r="A8" s="5" t="s">
        <v>70</v>
      </c>
    </row>
    <row r="9" spans="1:1" ht="15.5">
      <c r="A9" s="6" t="s">
        <v>71</v>
      </c>
    </row>
    <row r="10" spans="1:1" ht="15.5">
      <c r="A10" s="6" t="s">
        <v>72</v>
      </c>
    </row>
    <row r="11" spans="1:1" ht="15.5">
      <c r="A11" s="6" t="s">
        <v>73</v>
      </c>
    </row>
    <row r="12" spans="1:1" ht="15.5">
      <c r="A12" s="3"/>
    </row>
    <row r="13" spans="1:1" ht="15.5">
      <c r="A13" s="5" t="s">
        <v>74</v>
      </c>
    </row>
    <row r="14" spans="1:1" ht="15.5">
      <c r="A14" s="18" t="s">
        <v>98</v>
      </c>
    </row>
    <row r="15" spans="1:1" ht="15.5">
      <c r="A15" s="3"/>
    </row>
    <row r="16" spans="1:1" ht="15.5">
      <c r="A16" s="5" t="s">
        <v>75</v>
      </c>
    </row>
    <row r="17" spans="1:1" ht="15.5">
      <c r="A17" s="3" t="s">
        <v>76</v>
      </c>
    </row>
    <row r="18" spans="1:1" ht="15.5">
      <c r="A18" s="3"/>
    </row>
    <row r="19" spans="1:1" ht="15.5">
      <c r="A19" s="5" t="s">
        <v>94</v>
      </c>
    </row>
    <row r="20" spans="1:1" ht="15.5">
      <c r="A20" s="3"/>
    </row>
    <row r="21" spans="1:1" ht="15.5">
      <c r="A21" s="5" t="s">
        <v>68</v>
      </c>
    </row>
    <row r="22" spans="1:1" ht="15.5">
      <c r="A22" s="3" t="s">
        <v>99</v>
      </c>
    </row>
    <row r="23" spans="1:1" ht="15.5">
      <c r="A23" s="5" t="s">
        <v>70</v>
      </c>
    </row>
    <row r="24" spans="1:1" ht="15.5">
      <c r="A24" s="6" t="s">
        <v>77</v>
      </c>
    </row>
    <row r="25" spans="1:1" ht="15.5">
      <c r="A25" s="6" t="s">
        <v>78</v>
      </c>
    </row>
    <row r="26" spans="1:1" ht="15.5">
      <c r="A26" s="3"/>
    </row>
    <row r="27" spans="1:1" ht="15.5">
      <c r="A27" s="5" t="s">
        <v>74</v>
      </c>
    </row>
    <row r="28" spans="1:1" ht="15.5">
      <c r="A28" s="18" t="s">
        <v>100</v>
      </c>
    </row>
    <row r="29" spans="1:1" ht="15.5">
      <c r="A29" s="3"/>
    </row>
    <row r="30" spans="1:1" ht="15.5">
      <c r="A30" s="5" t="s">
        <v>75</v>
      </c>
    </row>
    <row r="31" spans="1:1" ht="15.5">
      <c r="A31" s="3" t="s">
        <v>79</v>
      </c>
    </row>
    <row r="32" spans="1:1" ht="15.5">
      <c r="A32" s="3"/>
    </row>
    <row r="33" spans="1:1" ht="15.5">
      <c r="A33" s="5" t="s">
        <v>95</v>
      </c>
    </row>
    <row r="34" spans="1:1" ht="15.5">
      <c r="A34" s="3"/>
    </row>
    <row r="35" spans="1:1" ht="15.5">
      <c r="A35" s="5" t="s">
        <v>68</v>
      </c>
    </row>
    <row r="36" spans="1:1" ht="15.5">
      <c r="A36" s="3" t="s">
        <v>101</v>
      </c>
    </row>
    <row r="37" spans="1:1" ht="15.5">
      <c r="A37" s="5" t="s">
        <v>70</v>
      </c>
    </row>
    <row r="38" spans="1:1" ht="15.5">
      <c r="A38" s="6" t="s">
        <v>80</v>
      </c>
    </row>
    <row r="39" spans="1:1" ht="15.5">
      <c r="A39" s="6" t="s">
        <v>81</v>
      </c>
    </row>
    <row r="40" spans="1:1" ht="15.5">
      <c r="A40" s="6" t="s">
        <v>82</v>
      </c>
    </row>
    <row r="41" spans="1:1" ht="15.5">
      <c r="A41" s="3"/>
    </row>
    <row r="42" spans="1:1" ht="15.5">
      <c r="A42" s="5" t="s">
        <v>74</v>
      </c>
    </row>
    <row r="43" spans="1:1" ht="15.5">
      <c r="A43" s="18" t="s">
        <v>102</v>
      </c>
    </row>
    <row r="44" spans="1:1" ht="15.5">
      <c r="A44" s="3"/>
    </row>
    <row r="45" spans="1:1" ht="15.5">
      <c r="A45" s="5" t="s">
        <v>75</v>
      </c>
    </row>
    <row r="46" spans="1:1" ht="15.5">
      <c r="A46" s="3" t="s">
        <v>83</v>
      </c>
    </row>
    <row r="47" spans="1:1" ht="15.5">
      <c r="A47" s="3"/>
    </row>
    <row r="48" spans="1:1" ht="15.5">
      <c r="A48" s="5" t="s">
        <v>96</v>
      </c>
    </row>
    <row r="49" spans="1:1" ht="15.5">
      <c r="A49" s="3"/>
    </row>
    <row r="50" spans="1:1" ht="15.5">
      <c r="A50" s="5" t="s">
        <v>68</v>
      </c>
    </row>
    <row r="51" spans="1:1" ht="15.5">
      <c r="A51" s="3" t="s">
        <v>103</v>
      </c>
    </row>
    <row r="52" spans="1:1" ht="15.5">
      <c r="A52" s="5" t="s">
        <v>70</v>
      </c>
    </row>
    <row r="53" spans="1:1" ht="15.5">
      <c r="A53" s="6" t="s">
        <v>84</v>
      </c>
    </row>
    <row r="54" spans="1:1" ht="15.5">
      <c r="A54" s="6" t="s">
        <v>85</v>
      </c>
    </row>
    <row r="55" spans="1:1" ht="15.5">
      <c r="A55" s="6" t="s">
        <v>86</v>
      </c>
    </row>
    <row r="56" spans="1:1" ht="15.5">
      <c r="A56" s="3"/>
    </row>
    <row r="57" spans="1:1" ht="15.5">
      <c r="A57" s="5" t="s">
        <v>74</v>
      </c>
    </row>
    <row r="58" spans="1:1" ht="15.5">
      <c r="A58" s="18" t="s">
        <v>104</v>
      </c>
    </row>
    <row r="59" spans="1:1" ht="15.5">
      <c r="A59" s="3"/>
    </row>
    <row r="60" spans="1:1" ht="15.5">
      <c r="A60" s="5" t="s">
        <v>75</v>
      </c>
    </row>
    <row r="61" spans="1:1" ht="15.5">
      <c r="A61" s="3" t="s">
        <v>87</v>
      </c>
    </row>
    <row r="62" spans="1:1" ht="15.5">
      <c r="A62" s="3"/>
    </row>
    <row r="63" spans="1:1" ht="15.5">
      <c r="A63" s="5" t="s">
        <v>97</v>
      </c>
    </row>
    <row r="64" spans="1:1" ht="15.5">
      <c r="A64" s="3"/>
    </row>
    <row r="65" spans="1:1" ht="15.5">
      <c r="A65" s="5" t="s">
        <v>68</v>
      </c>
    </row>
    <row r="66" spans="1:1" ht="15.5">
      <c r="A66" s="3" t="s">
        <v>88</v>
      </c>
    </row>
    <row r="67" spans="1:1" ht="15.5">
      <c r="A67" s="3"/>
    </row>
    <row r="68" spans="1:1" ht="15.5">
      <c r="A68" s="5" t="s">
        <v>70</v>
      </c>
    </row>
    <row r="69" spans="1:1" ht="15.5">
      <c r="A69" s="6"/>
    </row>
    <row r="70" spans="1:1" ht="15.5">
      <c r="A70" s="6" t="s">
        <v>89</v>
      </c>
    </row>
    <row r="71" spans="1:1" ht="15.5">
      <c r="A71" s="6" t="s">
        <v>90</v>
      </c>
    </row>
    <row r="72" spans="1:1" ht="15.5">
      <c r="A72" s="6" t="s">
        <v>91</v>
      </c>
    </row>
    <row r="73" spans="1:1" ht="15.5">
      <c r="A73" s="6"/>
    </row>
    <row r="74" spans="1:1" ht="15.5">
      <c r="A74" s="5" t="s">
        <v>74</v>
      </c>
    </row>
    <row r="75" spans="1:1" ht="15.5">
      <c r="A75" s="18" t="s">
        <v>105</v>
      </c>
    </row>
    <row r="76" spans="1:1" ht="15.5">
      <c r="A76" s="3"/>
    </row>
    <row r="77" spans="1:1" ht="15.5">
      <c r="A77" s="5" t="s">
        <v>75</v>
      </c>
    </row>
    <row r="78" spans="1:1" ht="15.5">
      <c r="A78" s="3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9274B-1F40-4EAE-88F6-071465CF82A4}">
  <dimension ref="A1:A42"/>
  <sheetViews>
    <sheetView showGridLines="0" workbookViewId="0"/>
  </sheetViews>
  <sheetFormatPr defaultRowHeight="14.5"/>
  <cols>
    <col min="1" max="1" width="11.90625" bestFit="1" customWidth="1"/>
  </cols>
  <sheetData>
    <row r="1" spans="1:1" s="9" customFormat="1">
      <c r="A1" s="7" t="s">
        <v>106</v>
      </c>
    </row>
    <row r="3" spans="1:1">
      <c r="A3" t="s">
        <v>1</v>
      </c>
    </row>
    <row r="4" spans="1:1" ht="15.5">
      <c r="A4" s="5" t="s">
        <v>107</v>
      </c>
    </row>
    <row r="5" spans="1:1" ht="15.5">
      <c r="A5" s="3"/>
    </row>
    <row r="6" spans="1:1" ht="15.5">
      <c r="A6" s="18" t="s">
        <v>129</v>
      </c>
    </row>
    <row r="7" spans="1:1" ht="15.5">
      <c r="A7" s="3" t="s">
        <v>130</v>
      </c>
    </row>
    <row r="8" spans="1:1" ht="15.5">
      <c r="A8" s="3"/>
    </row>
    <row r="9" spans="1:1" ht="15.5">
      <c r="A9" s="5" t="s">
        <v>108</v>
      </c>
    </row>
    <row r="10" spans="1:1" ht="15.5">
      <c r="A10" s="3"/>
    </row>
    <row r="11" spans="1:1" ht="15.5">
      <c r="A11" s="3" t="s">
        <v>109</v>
      </c>
    </row>
    <row r="12" spans="1:1" ht="15.5">
      <c r="A12" s="6" t="s">
        <v>110</v>
      </c>
    </row>
    <row r="13" spans="1:1" ht="15.5">
      <c r="A13" s="6" t="s">
        <v>111</v>
      </c>
    </row>
    <row r="14" spans="1:1" ht="15.5">
      <c r="A14" s="6" t="s">
        <v>112</v>
      </c>
    </row>
    <row r="15" spans="1:1" ht="15.5">
      <c r="A15" s="6" t="s">
        <v>113</v>
      </c>
    </row>
    <row r="16" spans="1:1" ht="15.5">
      <c r="A16" s="3"/>
    </row>
    <row r="17" spans="1:1" ht="15.5">
      <c r="A17" s="4" t="s">
        <v>74</v>
      </c>
    </row>
    <row r="18" spans="1:1" ht="15.5">
      <c r="A18" s="19">
        <f ca="1">TODAY() - A2</f>
        <v>46000</v>
      </c>
    </row>
    <row r="19" spans="1:1" ht="15.5">
      <c r="A19" s="3" t="s">
        <v>114</v>
      </c>
    </row>
    <row r="20" spans="1:1" ht="15.5">
      <c r="A20" s="3"/>
    </row>
    <row r="21" spans="1:1" ht="15.5">
      <c r="A21" s="5" t="s">
        <v>115</v>
      </c>
    </row>
    <row r="22" spans="1:1" ht="15.5">
      <c r="A22" s="3"/>
    </row>
    <row r="23" spans="1:1" ht="15.5">
      <c r="A23" s="3" t="s">
        <v>133</v>
      </c>
    </row>
    <row r="24" spans="1:1" ht="15.5">
      <c r="A24" s="6" t="s">
        <v>116</v>
      </c>
    </row>
    <row r="25" spans="1:1" ht="15.5">
      <c r="A25" s="6" t="s">
        <v>117</v>
      </c>
    </row>
    <row r="26" spans="1:1" ht="15.5">
      <c r="A26" s="6" t="s">
        <v>118</v>
      </c>
    </row>
    <row r="27" spans="1:1" ht="15.5">
      <c r="A27" s="3" t="s">
        <v>131</v>
      </c>
    </row>
    <row r="28" spans="1:1" ht="15.5">
      <c r="A28" s="3"/>
    </row>
    <row r="29" spans="1:1" ht="15.5">
      <c r="A29" s="5" t="s">
        <v>119</v>
      </c>
    </row>
    <row r="30" spans="1:1" ht="15.5">
      <c r="A30" s="3"/>
    </row>
    <row r="31" spans="1:1" ht="15.5">
      <c r="A31" s="3" t="s">
        <v>132</v>
      </c>
    </row>
    <row r="32" spans="1:1" ht="15.5">
      <c r="A32" s="6" t="s">
        <v>120</v>
      </c>
    </row>
    <row r="33" spans="1:1" ht="15.5">
      <c r="A33" s="6" t="s">
        <v>121</v>
      </c>
    </row>
    <row r="34" spans="1:1" ht="15.5">
      <c r="A34" s="6" t="s">
        <v>122</v>
      </c>
    </row>
    <row r="35" spans="1:1" ht="15.5">
      <c r="A35" s="3" t="s">
        <v>123</v>
      </c>
    </row>
    <row r="36" spans="1:1" ht="15.5">
      <c r="A36" s="3"/>
    </row>
    <row r="37" spans="1:1" ht="15.5">
      <c r="A37" s="5" t="s">
        <v>124</v>
      </c>
    </row>
    <row r="38" spans="1:1" ht="15.5">
      <c r="A38" s="3"/>
    </row>
    <row r="39" spans="1:1" ht="15.5">
      <c r="A39" s="3" t="s">
        <v>125</v>
      </c>
    </row>
    <row r="40" spans="1:1" ht="15.5">
      <c r="A40" s="6" t="s">
        <v>126</v>
      </c>
    </row>
    <row r="41" spans="1:1" ht="15.5">
      <c r="A41" s="6" t="s">
        <v>127</v>
      </c>
    </row>
    <row r="42" spans="1:1" ht="15.5">
      <c r="A42" s="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3E2C-F93D-4EFA-8013-65E5E70B17DB}">
  <dimension ref="A1:E62"/>
  <sheetViews>
    <sheetView showGridLines="0" workbookViewId="0"/>
  </sheetViews>
  <sheetFormatPr defaultRowHeight="14.5"/>
  <cols>
    <col min="1" max="1" width="14.81640625" bestFit="1" customWidth="1"/>
    <col min="2" max="2" width="12.6328125" bestFit="1" customWidth="1"/>
    <col min="3" max="3" width="11.1796875" bestFit="1" customWidth="1"/>
    <col min="4" max="4" width="8" bestFit="1" customWidth="1"/>
    <col min="5" max="5" width="11.453125" bestFit="1" customWidth="1"/>
  </cols>
  <sheetData>
    <row r="1" spans="1:5" s="40" customFormat="1">
      <c r="A1" s="39" t="s">
        <v>198</v>
      </c>
    </row>
    <row r="3" spans="1:5">
      <c r="A3" s="1" t="s">
        <v>199</v>
      </c>
    </row>
    <row r="4" spans="1:5">
      <c r="A4" s="1" t="s">
        <v>224</v>
      </c>
    </row>
    <row r="6" spans="1:5">
      <c r="A6" s="41" t="s">
        <v>200</v>
      </c>
      <c r="B6" s="41" t="s">
        <v>201</v>
      </c>
      <c r="C6" s="41" t="s">
        <v>202</v>
      </c>
      <c r="D6" s="41" t="s">
        <v>203</v>
      </c>
      <c r="E6" s="41" t="s">
        <v>204</v>
      </c>
    </row>
    <row r="7" spans="1:5">
      <c r="A7" s="41" t="s">
        <v>205</v>
      </c>
      <c r="B7" s="41" t="s">
        <v>206</v>
      </c>
      <c r="C7" s="41" t="s">
        <v>207</v>
      </c>
      <c r="D7" s="41">
        <v>1</v>
      </c>
      <c r="E7" s="41">
        <v>81</v>
      </c>
    </row>
    <row r="8" spans="1:5">
      <c r="A8" s="41" t="s">
        <v>208</v>
      </c>
      <c r="B8" s="41" t="s">
        <v>209</v>
      </c>
      <c r="C8" s="41" t="s">
        <v>207</v>
      </c>
      <c r="D8" s="41">
        <v>5</v>
      </c>
      <c r="E8" s="41">
        <v>121</v>
      </c>
    </row>
    <row r="9" spans="1:5">
      <c r="A9" s="41" t="s">
        <v>210</v>
      </c>
      <c r="B9" s="41" t="s">
        <v>211</v>
      </c>
      <c r="C9" s="41" t="s">
        <v>212</v>
      </c>
      <c r="D9" s="41">
        <v>10</v>
      </c>
      <c r="E9" s="41">
        <v>239</v>
      </c>
    </row>
    <row r="10" spans="1:5">
      <c r="A10" s="41" t="s">
        <v>213</v>
      </c>
      <c r="B10" s="41" t="s">
        <v>206</v>
      </c>
      <c r="C10" s="41" t="s">
        <v>207</v>
      </c>
      <c r="D10" s="41"/>
      <c r="E10" s="41">
        <v>500</v>
      </c>
    </row>
    <row r="11" spans="1:5">
      <c r="A11" s="41" t="s">
        <v>214</v>
      </c>
      <c r="B11" s="41" t="s">
        <v>215</v>
      </c>
      <c r="C11" s="41" t="s">
        <v>216</v>
      </c>
      <c r="D11" s="41"/>
      <c r="E11" s="41">
        <v>423</v>
      </c>
    </row>
    <row r="12" spans="1:5">
      <c r="A12" s="41" t="s">
        <v>217</v>
      </c>
      <c r="B12" s="41" t="s">
        <v>218</v>
      </c>
      <c r="C12" s="41" t="s">
        <v>207</v>
      </c>
      <c r="D12" s="41"/>
      <c r="E12" s="41">
        <v>160</v>
      </c>
    </row>
    <row r="13" spans="1:5">
      <c r="A13" s="41" t="s">
        <v>219</v>
      </c>
      <c r="B13" s="41" t="s">
        <v>220</v>
      </c>
      <c r="C13" s="41" t="s">
        <v>207</v>
      </c>
      <c r="D13" s="41"/>
      <c r="E13" s="41">
        <v>348</v>
      </c>
    </row>
    <row r="14" spans="1:5">
      <c r="A14" s="41" t="s">
        <v>221</v>
      </c>
      <c r="B14" s="41" t="s">
        <v>220</v>
      </c>
      <c r="C14" s="41" t="s">
        <v>207</v>
      </c>
      <c r="D14" s="41"/>
      <c r="E14" s="41">
        <v>152</v>
      </c>
    </row>
    <row r="15" spans="1:5">
      <c r="A15" s="41" t="s">
        <v>222</v>
      </c>
      <c r="B15" s="41" t="s">
        <v>223</v>
      </c>
      <c r="C15" s="41" t="s">
        <v>216</v>
      </c>
      <c r="D15" s="41"/>
      <c r="E15" s="41">
        <v>369</v>
      </c>
    </row>
    <row r="17" spans="1:1">
      <c r="A17" s="42" t="s">
        <v>225</v>
      </c>
    </row>
    <row r="19" spans="1:1" ht="15.5">
      <c r="A19" s="5" t="s">
        <v>226</v>
      </c>
    </row>
    <row r="20" spans="1:1" ht="15.5">
      <c r="A20" s="6" t="s">
        <v>227</v>
      </c>
    </row>
    <row r="21" spans="1:1" ht="15.5">
      <c r="A21" s="3"/>
    </row>
    <row r="22" spans="1:1" ht="15.5">
      <c r="A22" s="5" t="s">
        <v>228</v>
      </c>
    </row>
    <row r="23" spans="1:1" ht="15.5">
      <c r="A23" s="6"/>
    </row>
    <row r="24" spans="1:1" ht="15.5">
      <c r="A24" s="6" t="s">
        <v>240</v>
      </c>
    </row>
    <row r="25" spans="1:1" ht="15.5">
      <c r="A25" s="6" t="s">
        <v>252</v>
      </c>
    </row>
    <row r="26" spans="1:1" ht="15.5">
      <c r="A26" s="3"/>
    </row>
    <row r="27" spans="1:1" ht="15.5">
      <c r="A27" s="5" t="s">
        <v>229</v>
      </c>
    </row>
    <row r="28" spans="1:1" ht="15.5">
      <c r="A28" s="6"/>
    </row>
    <row r="29" spans="1:1" ht="15.5">
      <c r="A29" s="6" t="s">
        <v>241</v>
      </c>
    </row>
    <row r="30" spans="1:1" ht="15.5">
      <c r="A30" s="43" t="s">
        <v>242</v>
      </c>
    </row>
    <row r="31" spans="1:1" ht="15.5">
      <c r="A31" s="43" t="s">
        <v>243</v>
      </c>
    </row>
    <row r="32" spans="1:1" ht="15.5">
      <c r="A32" s="43"/>
    </row>
    <row r="33" spans="1:1" ht="15.5">
      <c r="A33" s="43" t="s">
        <v>230</v>
      </c>
    </row>
    <row r="34" spans="1:1" ht="15.5">
      <c r="A34" s="44" t="s">
        <v>244</v>
      </c>
    </row>
    <row r="35" spans="1:1" ht="15.5">
      <c r="A35" s="44" t="s">
        <v>245</v>
      </c>
    </row>
    <row r="36" spans="1:1" ht="15.5">
      <c r="A36" s="3"/>
    </row>
    <row r="37" spans="1:1" ht="15.5">
      <c r="A37" s="5" t="s">
        <v>231</v>
      </c>
    </row>
    <row r="38" spans="1:1" ht="15.5">
      <c r="A38" s="6"/>
    </row>
    <row r="39" spans="1:1" ht="15.5">
      <c r="A39" s="6" t="s">
        <v>246</v>
      </c>
    </row>
    <row r="40" spans="1:1" ht="15.5">
      <c r="A40" s="6" t="s">
        <v>247</v>
      </c>
    </row>
    <row r="41" spans="1:1" ht="15.5">
      <c r="A41" s="6"/>
    </row>
    <row r="42" spans="1:1" ht="15.5">
      <c r="A42" s="6" t="s">
        <v>232</v>
      </c>
    </row>
    <row r="43" spans="1:1" ht="15.5">
      <c r="A43" s="11" t="s">
        <v>248</v>
      </c>
    </row>
    <row r="44" spans="1:1" ht="15.5">
      <c r="A44" s="43"/>
    </row>
    <row r="45" spans="1:1" ht="15.5">
      <c r="A45" s="11" t="s">
        <v>233</v>
      </c>
    </row>
    <row r="46" spans="1:1" ht="15.5">
      <c r="A46" s="45" t="s">
        <v>234</v>
      </c>
    </row>
    <row r="47" spans="1:1" ht="15.5">
      <c r="A47" s="3"/>
    </row>
    <row r="48" spans="1:1" ht="15.5">
      <c r="A48" s="3"/>
    </row>
    <row r="49" spans="1:1" ht="15.5">
      <c r="A49" s="5" t="s">
        <v>235</v>
      </c>
    </row>
    <row r="50" spans="1:1" ht="15.5">
      <c r="A50" s="6"/>
    </row>
    <row r="51" spans="1:1" ht="15.5">
      <c r="A51" s="6" t="s">
        <v>249</v>
      </c>
    </row>
    <row r="52" spans="1:1" ht="15.5">
      <c r="A52" s="6" t="s">
        <v>250</v>
      </c>
    </row>
    <row r="53" spans="1:1" ht="15.5">
      <c r="A53" s="6"/>
    </row>
    <row r="54" spans="1:1" ht="15.5">
      <c r="A54" s="6" t="s">
        <v>236</v>
      </c>
    </row>
    <row r="55" spans="1:1" ht="15.5">
      <c r="A55" s="43"/>
    </row>
    <row r="56" spans="1:1" ht="15.5">
      <c r="A56" s="11" t="s">
        <v>251</v>
      </c>
    </row>
    <row r="57" spans="1:1" ht="15.5">
      <c r="A57" s="43"/>
    </row>
    <row r="58" spans="1:1" ht="15.5">
      <c r="A58" s="11" t="s">
        <v>237</v>
      </c>
    </row>
    <row r="59" spans="1:1" ht="15.5">
      <c r="A59" s="45" t="s">
        <v>238</v>
      </c>
    </row>
    <row r="60" spans="1:1" ht="15.5">
      <c r="A60" s="3"/>
    </row>
    <row r="61" spans="1:1" ht="15.5">
      <c r="A61" s="5" t="s">
        <v>239</v>
      </c>
    </row>
    <row r="62" spans="1:1" ht="15.5">
      <c r="A62" s="3"/>
    </row>
  </sheetData>
  <dataValidations count="1">
    <dataValidation type="whole" allowBlank="1" showInputMessage="1" showErrorMessage="1" error="Invalid input! The quantity must be a whole number between 1 and 10." prompt="Please enter a whole number between 1 and 10." sqref="D7:D15" xr:uid="{0A171EB8-4644-4494-B7D1-F87C4EAFC545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D4AB-B25A-450B-8BE7-C9F30EB5EEDF}">
  <dimension ref="A1:D21"/>
  <sheetViews>
    <sheetView showGridLines="0" workbookViewId="0">
      <selection activeCell="D23" sqref="D23"/>
    </sheetView>
  </sheetViews>
  <sheetFormatPr defaultRowHeight="14.5"/>
  <cols>
    <col min="1" max="1" width="16" bestFit="1" customWidth="1"/>
  </cols>
  <sheetData>
    <row r="1" spans="1:4" s="9" customFormat="1">
      <c r="A1" s="9" t="s">
        <v>134</v>
      </c>
    </row>
    <row r="3" spans="1:4" s="9" customFormat="1">
      <c r="A3" s="9" t="s">
        <v>135</v>
      </c>
    </row>
    <row r="5" spans="1:4">
      <c r="B5" t="s">
        <v>136</v>
      </c>
      <c r="D5" s="20" t="str">
        <f>LEFT(B5,5)</f>
        <v>Excel</v>
      </c>
    </row>
    <row r="7" spans="1:4" s="9" customFormat="1">
      <c r="A7" s="9" t="s">
        <v>137</v>
      </c>
    </row>
    <row r="9" spans="1:4">
      <c r="B9" t="s">
        <v>138</v>
      </c>
      <c r="D9" s="20" t="str">
        <f>RIGHT(B9,4)</f>
        <v>xlsx</v>
      </c>
    </row>
    <row r="11" spans="1:4" s="9" customFormat="1">
      <c r="A11" s="9" t="s">
        <v>139</v>
      </c>
    </row>
    <row r="13" spans="1:4">
      <c r="B13" t="s">
        <v>136</v>
      </c>
      <c r="D13" s="20" t="str">
        <f>MID(B13,6,4)</f>
        <v>Tips</v>
      </c>
    </row>
    <row r="15" spans="1:4" s="9" customFormat="1">
      <c r="A15" s="9" t="s">
        <v>140</v>
      </c>
    </row>
    <row r="17" spans="1:4">
      <c r="B17" t="s">
        <v>141</v>
      </c>
      <c r="D17" s="20">
        <f>LEN(B17)</f>
        <v>12</v>
      </c>
    </row>
    <row r="19" spans="1:4" s="9" customFormat="1">
      <c r="A19" s="9" t="s">
        <v>142</v>
      </c>
    </row>
    <row r="21" spans="1:4">
      <c r="B21" t="s">
        <v>143</v>
      </c>
      <c r="D21" s="20" t="str">
        <f>MID(B21,FIND("-",B21)+1,5)</f>
        <v>67890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B5B0-C93F-4BAF-BA74-2BD80E1C247F}">
  <dimension ref="A1:J27"/>
  <sheetViews>
    <sheetView showGridLines="0" workbookViewId="0">
      <selection activeCell="E1" sqref="E1"/>
    </sheetView>
  </sheetViews>
  <sheetFormatPr defaultRowHeight="14.5"/>
  <cols>
    <col min="3" max="3" width="15.6328125" bestFit="1" customWidth="1"/>
    <col min="5" max="5" width="18.6328125" bestFit="1" customWidth="1"/>
  </cols>
  <sheetData>
    <row r="1" spans="1:10" s="40" customFormat="1">
      <c r="A1" s="39" t="s">
        <v>144</v>
      </c>
    </row>
    <row r="3" spans="1:10" s="40" customFormat="1">
      <c r="A3" s="39" t="s">
        <v>145</v>
      </c>
    </row>
    <row r="5" spans="1:10">
      <c r="B5" t="s">
        <v>146</v>
      </c>
      <c r="C5" t="s">
        <v>147</v>
      </c>
      <c r="D5" s="20" t="str">
        <f>CONCATENATE(B5," ",C5)</f>
        <v>Hello World</v>
      </c>
    </row>
    <row r="7" spans="1:10" s="40" customFormat="1">
      <c r="A7" s="39" t="s">
        <v>148</v>
      </c>
    </row>
    <row r="9" spans="1:10">
      <c r="B9" s="20" t="s">
        <v>149</v>
      </c>
      <c r="C9" s="20"/>
      <c r="D9" s="20"/>
      <c r="E9" s="20"/>
      <c r="F9" s="20"/>
    </row>
    <row r="10" spans="1:10">
      <c r="A10" s="22" t="s">
        <v>150</v>
      </c>
      <c r="B10" s="22"/>
      <c r="C10" s="22"/>
      <c r="D10" s="22"/>
      <c r="E10" s="22"/>
      <c r="F10" s="22"/>
      <c r="G10" s="22"/>
      <c r="H10" s="22"/>
      <c r="I10" s="22"/>
      <c r="J10" s="22"/>
    </row>
    <row r="12" spans="1:10" s="40" customFormat="1">
      <c r="A12" s="39" t="s">
        <v>151</v>
      </c>
    </row>
    <row r="14" spans="1:10">
      <c r="A14" s="23">
        <v>2025</v>
      </c>
      <c r="B14" s="23" t="s">
        <v>152</v>
      </c>
      <c r="C14" s="23" t="s">
        <v>153</v>
      </c>
      <c r="E14" s="20" t="str">
        <f>A14&amp;B14&amp;" "&amp;C14</f>
        <v>2025: Excel Functions</v>
      </c>
    </row>
    <row r="15" spans="1:10">
      <c r="A15" s="23"/>
      <c r="B15" s="23"/>
      <c r="C15" s="23"/>
    </row>
    <row r="16" spans="1:10" s="40" customFormat="1">
      <c r="A16" s="39" t="s">
        <v>160</v>
      </c>
      <c r="B16" s="46"/>
      <c r="C16" s="46"/>
    </row>
    <row r="18" spans="1:10">
      <c r="B18" t="s">
        <v>154</v>
      </c>
    </row>
    <row r="19" spans="1:10">
      <c r="B19" t="s">
        <v>155</v>
      </c>
      <c r="C19" s="20" t="s">
        <v>159</v>
      </c>
      <c r="D19" s="20"/>
      <c r="E19" s="20"/>
    </row>
    <row r="20" spans="1:10">
      <c r="B20" t="s">
        <v>156</v>
      </c>
    </row>
    <row r="21" spans="1:10">
      <c r="B21" t="s">
        <v>157</v>
      </c>
      <c r="C21" s="22" t="s">
        <v>150</v>
      </c>
      <c r="D21" s="21"/>
      <c r="E21" s="21"/>
      <c r="F21" s="21"/>
      <c r="G21" s="21"/>
      <c r="H21" s="21"/>
      <c r="I21" s="21"/>
      <c r="J21" s="21"/>
    </row>
    <row r="22" spans="1:10">
      <c r="B22" t="s">
        <v>158</v>
      </c>
    </row>
    <row r="24" spans="1:10" s="40" customFormat="1">
      <c r="A24" s="39" t="s">
        <v>161</v>
      </c>
    </row>
    <row r="26" spans="1:10">
      <c r="A26" t="s">
        <v>162</v>
      </c>
      <c r="B26" t="s">
        <v>163</v>
      </c>
      <c r="C26" s="20" t="str">
        <f>CONCATENATE(A26," ",B26)</f>
        <v>Shubham Sharma</v>
      </c>
    </row>
    <row r="27" spans="1:10">
      <c r="A27" t="s">
        <v>164</v>
      </c>
      <c r="B27" t="s">
        <v>163</v>
      </c>
      <c r="C27" s="20" t="str">
        <f>CONCATENATE(A27," ",B27)</f>
        <v>Yogesh Sharma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F843-2650-44A2-A12C-9066501DDDC4}">
  <dimension ref="A1:D59"/>
  <sheetViews>
    <sheetView showGridLines="0" workbookViewId="0"/>
  </sheetViews>
  <sheetFormatPr defaultRowHeight="14.5"/>
  <cols>
    <col min="1" max="1" width="15.26953125" bestFit="1" customWidth="1"/>
    <col min="2" max="2" width="23" bestFit="1" customWidth="1"/>
    <col min="3" max="3" width="53.26953125" bestFit="1" customWidth="1"/>
    <col min="4" max="4" width="34.08984375" bestFit="1" customWidth="1"/>
  </cols>
  <sheetData>
    <row r="1" spans="1:4" s="40" customFormat="1">
      <c r="A1" s="39" t="s">
        <v>165</v>
      </c>
    </row>
    <row r="2" spans="1:4">
      <c r="A2" s="1"/>
    </row>
    <row r="3" spans="1:4" s="40" customFormat="1">
      <c r="A3" s="39" t="s">
        <v>185</v>
      </c>
    </row>
    <row r="4" spans="1:4">
      <c r="A4" s="1"/>
    </row>
    <row r="5" spans="1:4">
      <c r="A5" s="24"/>
    </row>
    <row r="6" spans="1:4">
      <c r="A6" t="s">
        <v>1</v>
      </c>
    </row>
    <row r="7" spans="1:4">
      <c r="B7" t="s">
        <v>178</v>
      </c>
    </row>
    <row r="8" spans="1:4">
      <c r="A8" s="24"/>
      <c r="B8" s="24"/>
      <c r="C8" s="24"/>
      <c r="D8" s="24"/>
    </row>
    <row r="9" spans="1:4">
      <c r="A9" s="26" t="s">
        <v>166</v>
      </c>
      <c r="B9" s="26" t="s">
        <v>167</v>
      </c>
      <c r="C9" s="26" t="s">
        <v>168</v>
      </c>
      <c r="D9" s="26" t="s">
        <v>176</v>
      </c>
    </row>
    <row r="10" spans="1:4">
      <c r="A10" s="27" t="s">
        <v>169</v>
      </c>
      <c r="B10" s="28" t="s">
        <v>174</v>
      </c>
      <c r="C10" s="29" t="s">
        <v>170</v>
      </c>
      <c r="D10" s="29" t="s">
        <v>171</v>
      </c>
    </row>
    <row r="11" spans="1:4">
      <c r="A11" s="27" t="s">
        <v>172</v>
      </c>
      <c r="B11" s="28" t="s">
        <v>175</v>
      </c>
      <c r="C11" s="29" t="s">
        <v>173</v>
      </c>
      <c r="D11" s="28" t="s">
        <v>177</v>
      </c>
    </row>
    <row r="14" spans="1:4" ht="17.5">
      <c r="A14" s="30" t="s">
        <v>179</v>
      </c>
    </row>
    <row r="16" spans="1:4" ht="15.5">
      <c r="A16" s="5" t="s">
        <v>180</v>
      </c>
    </row>
    <row r="18" spans="1:2">
      <c r="A18" t="s">
        <v>181</v>
      </c>
    </row>
    <row r="19" spans="1:2">
      <c r="A19" s="25"/>
    </row>
    <row r="20" spans="1:2">
      <c r="A20" s="33">
        <f ca="1">YEAR(TODAY()) - 1990</f>
        <v>35</v>
      </c>
    </row>
    <row r="22" spans="1:2">
      <c r="A22" t="s">
        <v>182</v>
      </c>
    </row>
    <row r="24" spans="1:2" ht="15.5">
      <c r="A24" s="5" t="s">
        <v>183</v>
      </c>
    </row>
    <row r="26" spans="1:2">
      <c r="A26" t="s">
        <v>184</v>
      </c>
    </row>
    <row r="27" spans="1:2">
      <c r="A27" s="25"/>
    </row>
    <row r="28" spans="1:2">
      <c r="A28" s="32">
        <f ca="1">NOW()</f>
        <v>46000.958552083335</v>
      </c>
    </row>
    <row r="30" spans="1:2" s="40" customFormat="1">
      <c r="A30" s="39" t="s">
        <v>186</v>
      </c>
    </row>
    <row r="32" spans="1:2">
      <c r="A32" s="35">
        <v>45818</v>
      </c>
      <c r="B32" s="36">
        <f ca="1">A32-TODAY()</f>
        <v>-182</v>
      </c>
    </row>
    <row r="34" spans="1:4" s="40" customFormat="1">
      <c r="A34" s="39" t="s">
        <v>187</v>
      </c>
    </row>
    <row r="36" spans="1:4">
      <c r="A36" s="31">
        <f ca="1">NOW()</f>
        <v>46000.958552083335</v>
      </c>
      <c r="B36" s="20" t="str">
        <f ca="1">TEXT(A36,"MM/DD/YYYY HH:MM AM/PM")</f>
        <v>12/09/2025 11:00 PM</v>
      </c>
    </row>
    <row r="38" spans="1:4" s="40" customFormat="1">
      <c r="A38" s="39" t="s">
        <v>188</v>
      </c>
    </row>
    <row r="40" spans="1:4">
      <c r="A40" t="s">
        <v>1</v>
      </c>
    </row>
    <row r="41" spans="1:4">
      <c r="A41" s="2" t="s">
        <v>189</v>
      </c>
      <c r="B41" s="2"/>
      <c r="C41" s="2"/>
      <c r="D41" s="2"/>
    </row>
    <row r="43" spans="1:4" ht="15.5">
      <c r="A43" s="38" t="s">
        <v>74</v>
      </c>
    </row>
    <row r="44" spans="1:4">
      <c r="A44" s="37"/>
    </row>
    <row r="45" spans="1:4">
      <c r="A45" s="37" t="s">
        <v>190</v>
      </c>
    </row>
    <row r="46" spans="1:4">
      <c r="A46" s="37" t="s">
        <v>191</v>
      </c>
    </row>
    <row r="49" spans="1:4" s="40" customFormat="1">
      <c r="A49" s="39" t="s">
        <v>197</v>
      </c>
    </row>
    <row r="50" spans="1:4">
      <c r="A50" s="1"/>
    </row>
    <row r="51" spans="1:4">
      <c r="A51" t="s">
        <v>1</v>
      </c>
    </row>
    <row r="52" spans="1:4">
      <c r="A52" s="2" t="s">
        <v>195</v>
      </c>
      <c r="B52" s="2"/>
      <c r="C52" s="2"/>
      <c r="D52" s="2"/>
    </row>
    <row r="54" spans="1:4" ht="15.5">
      <c r="A54" s="38" t="s">
        <v>196</v>
      </c>
      <c r="D54" s="34"/>
    </row>
    <row r="56" spans="1:4">
      <c r="A56" s="1" t="s">
        <v>192</v>
      </c>
    </row>
    <row r="57" spans="1:4">
      <c r="A57" t="s">
        <v>193</v>
      </c>
    </row>
    <row r="59" spans="1:4">
      <c r="A5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Q-1</vt:lpstr>
      <vt:lpstr>Q-2</vt:lpstr>
      <vt:lpstr>Q-3</vt:lpstr>
      <vt:lpstr>Q-4</vt:lpstr>
      <vt:lpstr>Q-5</vt:lpstr>
      <vt:lpstr>Q-6</vt:lpstr>
      <vt:lpstr>Q-7</vt:lpstr>
      <vt:lpstr>Q-8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2025-12-04T16:48:34Z</dcterms:created>
  <dcterms:modified xsi:type="dcterms:W3CDTF">2025-12-09T17:34:34Z</dcterms:modified>
</cp:coreProperties>
</file>