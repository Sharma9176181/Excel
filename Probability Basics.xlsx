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wnloads\"/>
    </mc:Choice>
  </mc:AlternateContent>
  <xr:revisionPtr revIDLastSave="0" documentId="13_ncr:1_{A14DC4E8-E528-48B6-BC17-2D144896CC75}" xr6:coauthVersionLast="47" xr6:coauthVersionMax="47" xr10:uidLastSave="{00000000-0000-0000-0000-000000000000}"/>
  <bookViews>
    <workbookView xWindow="-110" yWindow="-110" windowWidth="19420" windowHeight="10300" xr2:uid="{8C6A651B-895E-4206-A5E0-6554F85D8C92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7" i="8"/>
  <c r="B3" i="8"/>
  <c r="B13" i="7"/>
  <c r="B11" i="7"/>
  <c r="B10" i="7"/>
  <c r="B9" i="7"/>
  <c r="A12" i="6"/>
  <c r="B9" i="3"/>
  <c r="A12" i="2"/>
  <c r="A11" i="2"/>
  <c r="A10" i="2"/>
  <c r="A9" i="2"/>
  <c r="A11" i="1"/>
  <c r="A7" i="1"/>
</calcChain>
</file>

<file path=xl/sharedStrings.xml><?xml version="1.0" encoding="utf-8"?>
<sst xmlns="http://schemas.openxmlformats.org/spreadsheetml/2006/main" count="88" uniqueCount="74">
  <si>
    <t>Question 1: A die is rolled. What is the probability of getting: (a) An even number (b) A number greater than 4</t>
  </si>
  <si>
    <t>Ans.</t>
  </si>
  <si>
    <t>(a) An even number</t>
  </si>
  <si>
    <t>(b) A number greater than 4 </t>
  </si>
  <si>
    <t>Question 2: In a class of 50 students: 20 like Mathematics (M) 15 like Science (S) 5 like both subjects What is the probability that a student chosen at random likes Mathematics or Science?</t>
  </si>
  <si>
    <t>M</t>
  </si>
  <si>
    <t>S</t>
  </si>
  <si>
    <t>Both</t>
  </si>
  <si>
    <t>Question 3: A bag has 3 red and 2 blue balls. If one ball is drawn randomly and is red, what is the probability that the next ball is also red (without replacement)?  </t>
  </si>
  <si>
    <t>Red</t>
  </si>
  <si>
    <t>Blue</t>
  </si>
  <si>
    <t>now one removed</t>
  </si>
  <si>
    <t>Question 4: The population of a school is divided into 60% boys and 40% girls. If you want equal representation of both genders in the sample, which method should you use: Simple Random Sampling or Stratified Sampling? Why?</t>
  </si>
  <si>
    <t>Why?</t>
  </si>
  <si>
    <r>
      <t xml:space="preserve">The school population is </t>
    </r>
    <r>
      <rPr>
        <b/>
        <sz val="11"/>
        <color theme="1"/>
        <rFont val="Aptos Narrow"/>
        <family val="2"/>
        <scheme val="minor"/>
      </rPr>
      <t>not evenly distributed</t>
    </r>
    <r>
      <rPr>
        <sz val="11"/>
        <color theme="1"/>
        <rFont val="Aptos Narrow"/>
        <family val="2"/>
        <scheme val="minor"/>
      </rPr>
      <t>:</t>
    </r>
  </si>
  <si>
    <r>
      <t xml:space="preserve">Boys = </t>
    </r>
    <r>
      <rPr>
        <b/>
        <sz val="11"/>
        <color theme="1"/>
        <rFont val="Aptos Narrow"/>
        <family val="2"/>
        <scheme val="minor"/>
      </rPr>
      <t>60%</t>
    </r>
  </si>
  <si>
    <r>
      <t xml:space="preserve">Girls = </t>
    </r>
    <r>
      <rPr>
        <b/>
        <sz val="11"/>
        <color theme="1"/>
        <rFont val="Aptos Narrow"/>
        <family val="2"/>
        <scheme val="minor"/>
      </rPr>
      <t>40%</t>
    </r>
  </si>
  <si>
    <r>
      <t xml:space="preserve">If you use </t>
    </r>
    <r>
      <rPr>
        <b/>
        <sz val="11"/>
        <color theme="1"/>
        <rFont val="Aptos Narrow"/>
        <family val="2"/>
        <scheme val="minor"/>
      </rPr>
      <t>Simple Random Sampling</t>
    </r>
    <r>
      <rPr>
        <sz val="11"/>
        <color theme="1"/>
        <rFont val="Aptos Narrow"/>
        <family val="2"/>
        <scheme val="minor"/>
      </rPr>
      <t xml:space="preserve">, there is </t>
    </r>
    <r>
      <rPr>
        <b/>
        <sz val="11"/>
        <color theme="1"/>
        <rFont val="Aptos Narrow"/>
        <family val="2"/>
        <scheme val="minor"/>
      </rPr>
      <t>no guarantee</t>
    </r>
    <r>
      <rPr>
        <sz val="11"/>
        <color theme="1"/>
        <rFont val="Aptos Narrow"/>
        <family val="2"/>
        <scheme val="minor"/>
      </rPr>
      <t xml:space="preserve"> that boys and girls will be equally represented in the sample—it may reflect the same 60:40 ratio or even become more imbalanced by chance.</t>
    </r>
  </si>
  <si>
    <t>Stratified Sampling is the correct choice because:</t>
  </si>
  <si>
    <r>
      <t xml:space="preserve">The population is divided into </t>
    </r>
    <r>
      <rPr>
        <b/>
        <sz val="11"/>
        <color theme="1"/>
        <rFont val="Aptos Narrow"/>
        <family val="2"/>
        <scheme val="minor"/>
      </rPr>
      <t>strata</t>
    </r>
    <r>
      <rPr>
        <sz val="11"/>
        <color theme="1"/>
        <rFont val="Aptos Narrow"/>
        <family val="2"/>
        <scheme val="minor"/>
      </rPr>
      <t xml:space="preserve"> (boys and girls).</t>
    </r>
  </si>
  <si>
    <r>
      <t xml:space="preserve">You can </t>
    </r>
    <r>
      <rPr>
        <b/>
        <sz val="11"/>
        <color theme="1"/>
        <rFont val="Aptos Narrow"/>
        <family val="2"/>
        <scheme val="minor"/>
      </rPr>
      <t>select equal numbers</t>
    </r>
    <r>
      <rPr>
        <sz val="11"/>
        <color theme="1"/>
        <rFont val="Aptos Narrow"/>
        <family val="2"/>
        <scheme val="minor"/>
      </rPr>
      <t xml:space="preserve"> from each group.</t>
    </r>
  </si>
  <si>
    <r>
      <t xml:space="preserve">This ensures </t>
    </r>
    <r>
      <rPr>
        <b/>
        <sz val="11"/>
        <color theme="1"/>
        <rFont val="Aptos Narrow"/>
        <family val="2"/>
        <scheme val="minor"/>
      </rPr>
      <t>equal representation of both genders</t>
    </r>
    <r>
      <rPr>
        <sz val="11"/>
        <color theme="1"/>
        <rFont val="Aptos Narrow"/>
        <family val="2"/>
        <scheme val="minor"/>
      </rPr>
      <t xml:space="preserve"> in the sample.</t>
    </r>
  </si>
  <si>
    <t>Correct Method: Stratified Sampling</t>
  </si>
  <si>
    <t>Question 5: The average height of 1000 students = 160 cm. A sample of 100 students shows an average height = 158 cm. Find the sampling error.</t>
  </si>
  <si>
    <t>Given:</t>
  </si>
  <si>
    <r>
      <t xml:space="preserve">Population mean height = </t>
    </r>
    <r>
      <rPr>
        <b/>
        <sz val="11"/>
        <color theme="1"/>
        <rFont val="Aptos Narrow"/>
        <family val="2"/>
        <scheme val="minor"/>
      </rPr>
      <t>160 cm</t>
    </r>
  </si>
  <si>
    <r>
      <t xml:space="preserve">Sample mean height = </t>
    </r>
    <r>
      <rPr>
        <b/>
        <sz val="11"/>
        <color theme="1"/>
        <rFont val="Aptos Narrow"/>
        <family val="2"/>
        <scheme val="minor"/>
      </rPr>
      <t>158 cm</t>
    </r>
  </si>
  <si>
    <t>Sampling Error Formula:</t>
  </si>
  <si>
    <t>Calculation:</t>
  </si>
  <si>
    <t>✅ Final Answer:</t>
  </si>
  <si>
    <t>−2 cm</t>
  </si>
  <si>
    <t>Sampling Error=Sample Mean−Population Mean</t>
  </si>
  <si>
    <t>Sampling Error=158−160=−2 cm</t>
  </si>
  <si>
    <t>Question 6: The population mean salary is ₹50,000 with σ = ₹5,000. If we take a sample of 100 employees, what is the standard error of the mean (SEM)?</t>
  </si>
  <si>
    <t>Population standard deviation σ=₹5,000</t>
  </si>
  <si>
    <t>Sample size n=100</t>
  </si>
  <si>
    <t>Question 7: In a group of 100 students: 40 like Cricket (C) 30 like Football (F) 10 like both Cricket and Football Find the probability that a student likes at least one sport.</t>
  </si>
  <si>
    <t>C</t>
  </si>
  <si>
    <t>F</t>
  </si>
  <si>
    <t>Question 8: From a deck of 52 cards, two cards are drawn without replacement. What is the probability that both are Aces?</t>
  </si>
  <si>
    <t>Question 9: A factory produces bulbs with 2% defective rate. If 5 bulbs are chosen at random, what is the probability that all are non-defective?</t>
  </si>
  <si>
    <r>
      <t xml:space="preserve">Defective rate = </t>
    </r>
    <r>
      <rPr>
        <b/>
        <sz val="11"/>
        <color theme="1"/>
        <rFont val="Aptos Narrow"/>
        <family val="2"/>
        <scheme val="minor"/>
      </rPr>
      <t>2%</t>
    </r>
  </si>
  <si>
    <r>
      <t xml:space="preserve">Number of bulbs chosen = </t>
    </r>
    <r>
      <rPr>
        <b/>
        <sz val="11"/>
        <color theme="1"/>
        <rFont val="Aptos Narrow"/>
        <family val="2"/>
        <scheme val="minor"/>
      </rPr>
      <t>5</t>
    </r>
  </si>
  <si>
    <t>Probability that all 5 bulbs are non-defective:</t>
  </si>
  <si>
    <r>
      <t xml:space="preserve">So, probability a bulb is </t>
    </r>
    <r>
      <rPr>
        <b/>
        <sz val="11"/>
        <color theme="1"/>
        <rFont val="Aptos Narrow"/>
        <family val="2"/>
        <scheme val="minor"/>
      </rPr>
      <t>non-defective</t>
    </r>
    <r>
      <rPr>
        <sz val="11"/>
        <color theme="1"/>
        <rFont val="Aptos Narrow"/>
        <family val="2"/>
        <scheme val="minor"/>
      </rPr>
      <t xml:space="preserve"> = 1−0.02=0.98</t>
    </r>
  </si>
  <si>
    <t>P=(0.98)5</t>
  </si>
  <si>
    <t>(0.98)5≈0.9039</t>
  </si>
  <si>
    <t>Question 10: Differentiate between discrete and continuous random variables with examples.</t>
  </si>
  <si>
    <t>Difference Between Discrete and Continuous Random Variables</t>
  </si>
  <si>
    <t>Basis</t>
  </si>
  <si>
    <t>Discrete Random Variable</t>
  </si>
  <si>
    <t>Continuous Random Variable</t>
  </si>
  <si>
    <t>Meaning</t>
  </si>
  <si>
    <r>
      <t xml:space="preserve">Takes </t>
    </r>
    <r>
      <rPr>
        <b/>
        <sz val="11"/>
        <color theme="1"/>
        <rFont val="Aptos Narrow"/>
        <family val="2"/>
        <scheme val="minor"/>
      </rPr>
      <t>countable</t>
    </r>
    <r>
      <rPr>
        <sz val="11"/>
        <color theme="1"/>
        <rFont val="Aptos Narrow"/>
        <family val="2"/>
        <scheme val="minor"/>
      </rPr>
      <t xml:space="preserve"> values</t>
    </r>
  </si>
  <si>
    <r>
      <t xml:space="preserve">Takes </t>
    </r>
    <r>
      <rPr>
        <b/>
        <sz val="11"/>
        <color theme="1"/>
        <rFont val="Aptos Narrow"/>
        <family val="2"/>
        <scheme val="minor"/>
      </rPr>
      <t>uncountable</t>
    </r>
    <r>
      <rPr>
        <sz val="11"/>
        <color theme="1"/>
        <rFont val="Aptos Narrow"/>
        <family val="2"/>
        <scheme val="minor"/>
      </rPr>
      <t xml:space="preserve"> values</t>
    </r>
  </si>
  <si>
    <t>Values</t>
  </si>
  <si>
    <t>Whole numbers (finite or countable)</t>
  </si>
  <si>
    <t>Any value within a range</t>
  </si>
  <si>
    <t>Counting/Measuring</t>
  </si>
  <si>
    <r>
      <t xml:space="preserve">Obtained by </t>
    </r>
    <r>
      <rPr>
        <b/>
        <sz val="11"/>
        <color theme="1"/>
        <rFont val="Aptos Narrow"/>
        <family val="2"/>
        <scheme val="minor"/>
      </rPr>
      <t>counting</t>
    </r>
  </si>
  <si>
    <r>
      <t xml:space="preserve">Obtained by </t>
    </r>
    <r>
      <rPr>
        <b/>
        <sz val="11"/>
        <color theme="1"/>
        <rFont val="Aptos Narrow"/>
        <family val="2"/>
        <scheme val="minor"/>
      </rPr>
      <t>measuring</t>
    </r>
  </si>
  <si>
    <t>Probability</t>
  </si>
  <si>
    <r>
      <t xml:space="preserve">Probability assigned to </t>
    </r>
    <r>
      <rPr>
        <b/>
        <sz val="11"/>
        <color theme="1"/>
        <rFont val="Aptos Narrow"/>
        <family val="2"/>
        <scheme val="minor"/>
      </rPr>
      <t>individual values</t>
    </r>
  </si>
  <si>
    <r>
      <t xml:space="preserve">Probability assigned to an </t>
    </r>
    <r>
      <rPr>
        <b/>
        <sz val="11"/>
        <color theme="1"/>
        <rFont val="Aptos Narrow"/>
        <family val="2"/>
        <scheme val="minor"/>
      </rPr>
      <t>interval</t>
    </r>
  </si>
  <si>
    <t>Examples</t>
  </si>
  <si>
    <t>Number of students in a class, number of heads in coin tosses</t>
  </si>
  <si>
    <t>Height, weight, time, temperature</t>
  </si>
  <si>
    <t>Examples Explained:</t>
  </si>
  <si>
    <t>Discrete Random Variable:</t>
  </si>
  <si>
    <t>Number of defective items in a batch</t>
  </si>
  <si>
    <t>Number of calls received in an hour</t>
  </si>
  <si>
    <t>Continuous Random Variable:</t>
  </si>
  <si>
    <t>Height of a person (e.g., 165.4 cm, 165.42 cm, etc.)</t>
  </si>
  <si>
    <t>Time taken to complete a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</si>
</sst>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9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center"/>
    </xf>
    <xf numFmtId="9" fontId="0" fillId="0" borderId="0" xfId="1" applyFont="1"/>
    <xf numFmtId="0" fontId="0" fillId="3" borderId="0" xfId="0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668C-13F2-407C-AE05-F9969BA9EC3E}">
  <dimension ref="A1:A11"/>
  <sheetViews>
    <sheetView showGridLines="0" tabSelected="1" workbookViewId="0"/>
  </sheetViews>
  <sheetFormatPr defaultRowHeight="14.5" x14ac:dyDescent="0.35"/>
  <sheetData>
    <row r="1" spans="1:1" s="1" customFormat="1" x14ac:dyDescent="0.35">
      <c r="A1" s="2" t="s">
        <v>0</v>
      </c>
    </row>
    <row r="3" spans="1:1" x14ac:dyDescent="0.35">
      <c r="A3" t="s">
        <v>1</v>
      </c>
    </row>
    <row r="5" spans="1:1" x14ac:dyDescent="0.35">
      <c r="A5" s="3" t="s">
        <v>2</v>
      </c>
    </row>
    <row r="7" spans="1:1" x14ac:dyDescent="0.35">
      <c r="A7" s="5">
        <f>3/6</f>
        <v>0.5</v>
      </c>
    </row>
    <row r="9" spans="1:1" x14ac:dyDescent="0.35">
      <c r="A9" s="3" t="s">
        <v>3</v>
      </c>
    </row>
    <row r="11" spans="1:1" x14ac:dyDescent="0.35">
      <c r="A11" s="5">
        <f>2/6</f>
        <v>0.33333333333333331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D812-8DAF-4E4A-A5DB-D876D8F20C61}">
  <dimension ref="A1:B13"/>
  <sheetViews>
    <sheetView workbookViewId="0">
      <selection activeCell="A14" sqref="A14"/>
    </sheetView>
  </sheetViews>
  <sheetFormatPr defaultRowHeight="14.5" x14ac:dyDescent="0.35"/>
  <sheetData>
    <row r="1" spans="1:2" s="1" customFormat="1" x14ac:dyDescent="0.35">
      <c r="A1" s="2" t="s">
        <v>4</v>
      </c>
    </row>
    <row r="3" spans="1:2" x14ac:dyDescent="0.35">
      <c r="A3" t="s">
        <v>1</v>
      </c>
    </row>
    <row r="5" spans="1:2" x14ac:dyDescent="0.35">
      <c r="A5" s="6">
        <v>20</v>
      </c>
      <c r="B5" s="6" t="s">
        <v>5</v>
      </c>
    </row>
    <row r="6" spans="1:2" x14ac:dyDescent="0.35">
      <c r="A6" s="6">
        <v>15</v>
      </c>
      <c r="B6" s="6" t="s">
        <v>6</v>
      </c>
    </row>
    <row r="7" spans="1:2" x14ac:dyDescent="0.35">
      <c r="A7" s="6">
        <v>5</v>
      </c>
      <c r="B7" s="6" t="s">
        <v>7</v>
      </c>
    </row>
    <row r="9" spans="1:2" x14ac:dyDescent="0.35">
      <c r="A9">
        <f>A5/50</f>
        <v>0.4</v>
      </c>
    </row>
    <row r="10" spans="1:2" x14ac:dyDescent="0.35">
      <c r="A10">
        <f>A6/50</f>
        <v>0.3</v>
      </c>
    </row>
    <row r="11" spans="1:2" x14ac:dyDescent="0.35">
      <c r="A11">
        <f>A7/50</f>
        <v>0.1</v>
      </c>
    </row>
    <row r="12" spans="1:2" x14ac:dyDescent="0.35">
      <c r="A12" s="8">
        <f>A9+A10-A11</f>
        <v>0.6</v>
      </c>
    </row>
    <row r="13" spans="1:2" x14ac:dyDescent="0.35">
      <c r="A1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F203-FDBD-470A-8D94-C9AEA0FADAE6}">
  <dimension ref="A1:C9"/>
  <sheetViews>
    <sheetView showGridLines="0" workbookViewId="0">
      <selection activeCell="B11" sqref="B11"/>
    </sheetView>
  </sheetViews>
  <sheetFormatPr defaultRowHeight="14.5" x14ac:dyDescent="0.35"/>
  <sheetData>
    <row r="1" spans="1:3" s="2" customFormat="1" x14ac:dyDescent="0.35">
      <c r="A1" s="2" t="s">
        <v>8</v>
      </c>
    </row>
    <row r="3" spans="1:3" x14ac:dyDescent="0.35">
      <c r="A3" t="s">
        <v>1</v>
      </c>
    </row>
    <row r="4" spans="1:3" x14ac:dyDescent="0.35">
      <c r="B4" s="6">
        <v>3</v>
      </c>
      <c r="C4" s="6" t="s">
        <v>9</v>
      </c>
    </row>
    <row r="5" spans="1:3" x14ac:dyDescent="0.35">
      <c r="B5" s="6">
        <v>2</v>
      </c>
      <c r="C5" s="6" t="s">
        <v>10</v>
      </c>
    </row>
    <row r="7" spans="1:3" x14ac:dyDescent="0.35">
      <c r="B7" t="s">
        <v>11</v>
      </c>
    </row>
    <row r="9" spans="1:3" x14ac:dyDescent="0.35">
      <c r="B9" s="8">
        <f>2/4</f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94E1-039E-4BF5-9DD2-2CD17E3CAB85}">
  <dimension ref="A1:E19"/>
  <sheetViews>
    <sheetView showGridLines="0" workbookViewId="0"/>
  </sheetViews>
  <sheetFormatPr defaultRowHeight="14.5" x14ac:dyDescent="0.35"/>
  <sheetData>
    <row r="1" spans="1:5" s="1" customFormat="1" x14ac:dyDescent="0.35">
      <c r="A1" s="2" t="s">
        <v>12</v>
      </c>
    </row>
    <row r="3" spans="1:5" x14ac:dyDescent="0.35">
      <c r="A3" t="s">
        <v>1</v>
      </c>
    </row>
    <row r="5" spans="1:5" ht="17.5" x14ac:dyDescent="0.35">
      <c r="A5" s="12" t="s">
        <v>22</v>
      </c>
      <c r="B5" s="8"/>
      <c r="C5" s="8"/>
      <c r="D5" s="8"/>
      <c r="E5" s="8"/>
    </row>
    <row r="7" spans="1:5" ht="17.5" x14ac:dyDescent="0.35">
      <c r="A7" s="10" t="s">
        <v>13</v>
      </c>
    </row>
    <row r="8" spans="1:5" x14ac:dyDescent="0.35">
      <c r="A8" t="s">
        <v>14</v>
      </c>
    </row>
    <row r="9" spans="1:5" x14ac:dyDescent="0.35">
      <c r="A9" s="11"/>
    </row>
    <row r="10" spans="1:5" x14ac:dyDescent="0.35">
      <c r="A10" s="11" t="s">
        <v>15</v>
      </c>
    </row>
    <row r="11" spans="1:5" x14ac:dyDescent="0.35">
      <c r="A11" s="11" t="s">
        <v>16</v>
      </c>
    </row>
    <row r="13" spans="1:5" x14ac:dyDescent="0.35">
      <c r="A13" t="s">
        <v>17</v>
      </c>
    </row>
    <row r="15" spans="1:5" ht="17.5" x14ac:dyDescent="0.35">
      <c r="A15" s="10" t="s">
        <v>18</v>
      </c>
    </row>
    <row r="16" spans="1:5" x14ac:dyDescent="0.35">
      <c r="A16" s="11"/>
    </row>
    <row r="17" spans="1:1" x14ac:dyDescent="0.35">
      <c r="A17" s="11" t="s">
        <v>19</v>
      </c>
    </row>
    <row r="18" spans="1:1" x14ac:dyDescent="0.35">
      <c r="A18" s="11" t="s">
        <v>20</v>
      </c>
    </row>
    <row r="19" spans="1:1" x14ac:dyDescent="0.35">
      <c r="A19" s="1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4362-E187-4057-98F8-30DC7A402825}">
  <dimension ref="A1:A18"/>
  <sheetViews>
    <sheetView showGridLines="0" workbookViewId="0"/>
  </sheetViews>
  <sheetFormatPr defaultRowHeight="14.5" x14ac:dyDescent="0.35"/>
  <sheetData>
    <row r="1" spans="1:1" s="1" customFormat="1" x14ac:dyDescent="0.35">
      <c r="A1" s="2" t="s">
        <v>23</v>
      </c>
    </row>
    <row r="3" spans="1:1" x14ac:dyDescent="0.35">
      <c r="A3" t="s">
        <v>1</v>
      </c>
    </row>
    <row r="5" spans="1:1" ht="17.5" x14ac:dyDescent="0.35">
      <c r="A5" s="10" t="s">
        <v>24</v>
      </c>
    </row>
    <row r="6" spans="1:1" x14ac:dyDescent="0.35">
      <c r="A6" s="11"/>
    </row>
    <row r="7" spans="1:1" x14ac:dyDescent="0.35">
      <c r="A7" s="11" t="s">
        <v>25</v>
      </c>
    </row>
    <row r="8" spans="1:1" x14ac:dyDescent="0.35">
      <c r="A8" s="11" t="s">
        <v>26</v>
      </c>
    </row>
    <row r="10" spans="1:1" ht="17.5" x14ac:dyDescent="0.35">
      <c r="A10" s="10" t="s">
        <v>27</v>
      </c>
    </row>
    <row r="12" spans="1:1" x14ac:dyDescent="0.35">
      <c r="A12" t="s">
        <v>31</v>
      </c>
    </row>
    <row r="13" spans="1:1" ht="17.5" x14ac:dyDescent="0.35">
      <c r="A13" s="10" t="s">
        <v>28</v>
      </c>
    </row>
    <row r="15" spans="1:1" x14ac:dyDescent="0.35">
      <c r="A15" t="s">
        <v>32</v>
      </c>
    </row>
    <row r="16" spans="1:1" ht="17.5" x14ac:dyDescent="0.35">
      <c r="A16" s="10" t="s">
        <v>29</v>
      </c>
    </row>
    <row r="18" spans="1:1" x14ac:dyDescent="0.35">
      <c r="A18" s="8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67A-E306-437E-AD2F-3941827570D9}">
  <dimension ref="A1:A12"/>
  <sheetViews>
    <sheetView showGridLines="0" workbookViewId="0"/>
  </sheetViews>
  <sheetFormatPr defaultRowHeight="14.5" x14ac:dyDescent="0.35"/>
  <sheetData>
    <row r="1" spans="1:1" s="1" customFormat="1" x14ac:dyDescent="0.35">
      <c r="A1" s="2" t="s">
        <v>33</v>
      </c>
    </row>
    <row r="3" spans="1:1" x14ac:dyDescent="0.35">
      <c r="A3" t="s">
        <v>1</v>
      </c>
    </row>
    <row r="5" spans="1:1" ht="17.5" x14ac:dyDescent="0.35">
      <c r="A5" s="10" t="s">
        <v>24</v>
      </c>
    </row>
    <row r="6" spans="1:1" x14ac:dyDescent="0.35">
      <c r="A6" s="11"/>
    </row>
    <row r="7" spans="1:1" x14ac:dyDescent="0.35">
      <c r="A7" s="11" t="s">
        <v>34</v>
      </c>
    </row>
    <row r="8" spans="1:1" x14ac:dyDescent="0.35">
      <c r="A8" s="11" t="s">
        <v>35</v>
      </c>
    </row>
    <row r="10" spans="1:1" ht="17.5" x14ac:dyDescent="0.35">
      <c r="A10" s="10" t="s">
        <v>28</v>
      </c>
    </row>
    <row r="12" spans="1:1" x14ac:dyDescent="0.35">
      <c r="A12" s="8">
        <f>5000/10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F456-2735-4656-B426-F3CAC7AD4204}">
  <dimension ref="A1:C13"/>
  <sheetViews>
    <sheetView showGridLines="0" workbookViewId="0">
      <selection activeCell="B14" sqref="B14"/>
    </sheetView>
  </sheetViews>
  <sheetFormatPr defaultRowHeight="14.5" x14ac:dyDescent="0.35"/>
  <sheetData>
    <row r="1" spans="1:3" s="1" customFormat="1" x14ac:dyDescent="0.35">
      <c r="A1" s="2" t="s">
        <v>36</v>
      </c>
    </row>
    <row r="3" spans="1:3" x14ac:dyDescent="0.35">
      <c r="A3" t="s">
        <v>1</v>
      </c>
    </row>
    <row r="5" spans="1:3" x14ac:dyDescent="0.35">
      <c r="B5" s="6">
        <v>40</v>
      </c>
      <c r="C5" s="6" t="s">
        <v>37</v>
      </c>
    </row>
    <row r="6" spans="1:3" x14ac:dyDescent="0.35">
      <c r="B6" s="6">
        <v>30</v>
      </c>
      <c r="C6" s="6" t="s">
        <v>38</v>
      </c>
    </row>
    <row r="7" spans="1:3" x14ac:dyDescent="0.35">
      <c r="B7" s="6">
        <v>10</v>
      </c>
      <c r="C7" s="6" t="s">
        <v>7</v>
      </c>
    </row>
    <row r="9" spans="1:3" x14ac:dyDescent="0.35">
      <c r="B9">
        <f>B5/100</f>
        <v>0.4</v>
      </c>
    </row>
    <row r="10" spans="1:3" x14ac:dyDescent="0.35">
      <c r="B10">
        <f>B6/100</f>
        <v>0.3</v>
      </c>
    </row>
    <row r="11" spans="1:3" x14ac:dyDescent="0.35">
      <c r="B11">
        <f>B7/100</f>
        <v>0.1</v>
      </c>
    </row>
    <row r="13" spans="1:3" x14ac:dyDescent="0.35">
      <c r="B13" s="8">
        <f>B9+B10-B11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B111-7AB1-4C28-92AD-A1B171D80896}">
  <dimension ref="A1:C7"/>
  <sheetViews>
    <sheetView showGridLines="0" workbookViewId="0">
      <selection activeCell="B7" sqref="B7"/>
    </sheetView>
  </sheetViews>
  <sheetFormatPr defaultRowHeight="14.5" x14ac:dyDescent="0.35"/>
  <sheetData>
    <row r="1" spans="1:3" s="1" customFormat="1" x14ac:dyDescent="0.35">
      <c r="A1" s="2" t="s">
        <v>39</v>
      </c>
    </row>
    <row r="3" spans="1:3" x14ac:dyDescent="0.35">
      <c r="A3" t="s">
        <v>1</v>
      </c>
      <c r="B3">
        <f>4/52</f>
        <v>7.6923076923076927E-2</v>
      </c>
    </row>
    <row r="5" spans="1:3" x14ac:dyDescent="0.35">
      <c r="B5">
        <f>3/51</f>
        <v>5.8823529411764705E-2</v>
      </c>
    </row>
    <row r="7" spans="1:3" x14ac:dyDescent="0.35">
      <c r="B7" s="8">
        <f>B3*B5</f>
        <v>4.5248868778280547E-3</v>
      </c>
      <c r="C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D129-AB04-4629-988E-BA972CEFAE3F}">
  <dimension ref="A1:B24"/>
  <sheetViews>
    <sheetView showGridLines="0" workbookViewId="0"/>
  </sheetViews>
  <sheetFormatPr defaultRowHeight="14.5" x14ac:dyDescent="0.35"/>
  <sheetData>
    <row r="1" spans="1:1" s="1" customFormat="1" x14ac:dyDescent="0.35">
      <c r="A1" s="2" t="s">
        <v>40</v>
      </c>
    </row>
    <row r="3" spans="1:1" x14ac:dyDescent="0.35">
      <c r="A3" t="s">
        <v>1</v>
      </c>
    </row>
    <row r="5" spans="1:1" ht="17.5" x14ac:dyDescent="0.35">
      <c r="A5" s="10" t="s">
        <v>24</v>
      </c>
    </row>
    <row r="6" spans="1:1" x14ac:dyDescent="0.35">
      <c r="A6" s="11"/>
    </row>
    <row r="7" spans="1:1" x14ac:dyDescent="0.35">
      <c r="A7" s="11" t="s">
        <v>41</v>
      </c>
    </row>
    <row r="8" spans="1:1" x14ac:dyDescent="0.35">
      <c r="A8" s="11"/>
    </row>
    <row r="9" spans="1:1" x14ac:dyDescent="0.35">
      <c r="A9" s="11" t="s">
        <v>44</v>
      </c>
    </row>
    <row r="10" spans="1:1" x14ac:dyDescent="0.35">
      <c r="A10" s="11" t="s">
        <v>42</v>
      </c>
    </row>
    <row r="14" spans="1:1" ht="17.5" x14ac:dyDescent="0.35">
      <c r="A14" s="10" t="s">
        <v>43</v>
      </c>
    </row>
    <row r="16" spans="1:1" x14ac:dyDescent="0.35">
      <c r="A16" t="s">
        <v>45</v>
      </c>
    </row>
    <row r="19" spans="1:2" ht="17.5" x14ac:dyDescent="0.35">
      <c r="A19" s="10" t="s">
        <v>28</v>
      </c>
    </row>
    <row r="21" spans="1:2" x14ac:dyDescent="0.35">
      <c r="A21" s="8" t="s">
        <v>46</v>
      </c>
      <c r="B21" s="8"/>
    </row>
    <row r="24" spans="1:2" ht="17.5" x14ac:dyDescent="0.35">
      <c r="A24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D739-EFF2-46D8-96F4-54E231252397}">
  <dimension ref="A1:C25"/>
  <sheetViews>
    <sheetView showGridLines="0" workbookViewId="0">
      <selection activeCell="A26" sqref="A26"/>
    </sheetView>
  </sheetViews>
  <sheetFormatPr defaultRowHeight="14.5" x14ac:dyDescent="0.35"/>
  <cols>
    <col min="1" max="1" width="18" bestFit="1" customWidth="1"/>
    <col min="2" max="2" width="51" bestFit="1" customWidth="1"/>
    <col min="3" max="3" width="28.36328125" bestFit="1" customWidth="1"/>
  </cols>
  <sheetData>
    <row r="1" spans="1:3" s="1" customFormat="1" x14ac:dyDescent="0.35">
      <c r="A1" s="2" t="s">
        <v>47</v>
      </c>
    </row>
    <row r="3" spans="1:3" x14ac:dyDescent="0.35">
      <c r="A3" t="s">
        <v>1</v>
      </c>
    </row>
    <row r="5" spans="1:3" ht="17.5" x14ac:dyDescent="0.35">
      <c r="A5" s="10" t="s">
        <v>48</v>
      </c>
    </row>
    <row r="7" spans="1:3" x14ac:dyDescent="0.35">
      <c r="A7" s="13" t="s">
        <v>49</v>
      </c>
      <c r="B7" s="13" t="s">
        <v>50</v>
      </c>
      <c r="C7" s="13" t="s">
        <v>51</v>
      </c>
    </row>
    <row r="8" spans="1:3" x14ac:dyDescent="0.35">
      <c r="A8" s="13" t="s">
        <v>52</v>
      </c>
      <c r="B8" s="9" t="s">
        <v>53</v>
      </c>
      <c r="C8" s="9" t="s">
        <v>54</v>
      </c>
    </row>
    <row r="9" spans="1:3" x14ac:dyDescent="0.35">
      <c r="A9" s="13" t="s">
        <v>55</v>
      </c>
      <c r="B9" s="9" t="s">
        <v>56</v>
      </c>
      <c r="C9" s="9" t="s">
        <v>57</v>
      </c>
    </row>
    <row r="10" spans="1:3" x14ac:dyDescent="0.35">
      <c r="A10" s="13" t="s">
        <v>58</v>
      </c>
      <c r="B10" s="9" t="s">
        <v>59</v>
      </c>
      <c r="C10" s="9" t="s">
        <v>60</v>
      </c>
    </row>
    <row r="11" spans="1:3" x14ac:dyDescent="0.35">
      <c r="A11" s="13" t="s">
        <v>61</v>
      </c>
      <c r="B11" s="9" t="s">
        <v>62</v>
      </c>
      <c r="C11" s="9" t="s">
        <v>63</v>
      </c>
    </row>
    <row r="12" spans="1:3" x14ac:dyDescent="0.35">
      <c r="A12" s="13" t="s">
        <v>64</v>
      </c>
      <c r="B12" s="9" t="s">
        <v>65</v>
      </c>
      <c r="C12" s="9" t="s">
        <v>66</v>
      </c>
    </row>
    <row r="15" spans="1:3" ht="17.5" x14ac:dyDescent="0.35">
      <c r="A15" s="10" t="s">
        <v>67</v>
      </c>
    </row>
    <row r="17" spans="1:1" x14ac:dyDescent="0.35">
      <c r="A17" s="3" t="s">
        <v>68</v>
      </c>
    </row>
    <row r="18" spans="1:1" x14ac:dyDescent="0.35">
      <c r="A18" s="11"/>
    </row>
    <row r="19" spans="1:1" x14ac:dyDescent="0.35">
      <c r="A19" s="11" t="s">
        <v>69</v>
      </c>
    </row>
    <row r="20" spans="1:1" x14ac:dyDescent="0.35">
      <c r="A20" s="11" t="s">
        <v>70</v>
      </c>
    </row>
    <row r="22" spans="1:1" x14ac:dyDescent="0.35">
      <c r="A22" s="3" t="s">
        <v>71</v>
      </c>
    </row>
    <row r="23" spans="1:1" x14ac:dyDescent="0.35">
      <c r="A23" s="11"/>
    </row>
    <row r="24" spans="1:1" x14ac:dyDescent="0.35">
      <c r="A24" s="11" t="s">
        <v>72</v>
      </c>
    </row>
    <row r="25" spans="1:1" x14ac:dyDescent="0.35">
      <c r="A25" s="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2026-01-02T16:51:08Z</dcterms:created>
  <dcterms:modified xsi:type="dcterms:W3CDTF">2026-01-02T17:39:36Z</dcterms:modified>
</cp:coreProperties>
</file>